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9D95D7D2-FA7C-4ACD-A082-608B41E42327}" xr6:coauthVersionLast="47" xr6:coauthVersionMax="47" xr10:uidLastSave="{00000000-0000-0000-0000-000000000000}"/>
  <bookViews>
    <workbookView xWindow="-108" yWindow="-108" windowWidth="23256" windowHeight="13896" activeTab="2" xr2:uid="{285304AD-4B0B-489B-BC3E-1248EA0322F2}"/>
  </bookViews>
  <sheets>
    <sheet name="Trip Planner " sheetId="1" r:id="rId1"/>
    <sheet name="Packages detail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F2" i="3"/>
  <c r="G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G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E28" i="3"/>
  <c r="I2" i="1"/>
  <c r="G3" i="1"/>
  <c r="I3" i="1" s="1"/>
  <c r="L8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H2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" i="1"/>
  <c r="H4" i="1"/>
  <c r="H2" i="1"/>
  <c r="G17" i="1"/>
  <c r="G18" i="1"/>
  <c r="G19" i="1"/>
  <c r="G20" i="1"/>
  <c r="G21" i="1"/>
  <c r="G22" i="1"/>
  <c r="G23" i="1"/>
  <c r="G24" i="1"/>
  <c r="G25" i="1"/>
  <c r="G26" i="1"/>
  <c r="G15" i="1"/>
  <c r="G16" i="1"/>
  <c r="G4" i="1"/>
  <c r="G5" i="1"/>
  <c r="G6" i="1"/>
  <c r="G7" i="1"/>
  <c r="G8" i="1"/>
  <c r="G9" i="1"/>
  <c r="G10" i="1"/>
  <c r="G11" i="1"/>
  <c r="G12" i="1"/>
  <c r="G13" i="1"/>
  <c r="G14" i="1"/>
  <c r="G2" i="1"/>
  <c r="G28" i="3" l="1"/>
  <c r="I28" i="3"/>
  <c r="H28" i="3"/>
  <c r="F28" i="3"/>
  <c r="J2" i="3" l="1"/>
</calcChain>
</file>

<file path=xl/sharedStrings.xml><?xml version="1.0" encoding="utf-8"?>
<sst xmlns="http://schemas.openxmlformats.org/spreadsheetml/2006/main" count="148" uniqueCount="73">
  <si>
    <t>Cutomer Name</t>
  </si>
  <si>
    <t>Ali Khan</t>
  </si>
  <si>
    <t>Ayesha Malik</t>
  </si>
  <si>
    <t>Ahmed Raza</t>
  </si>
  <si>
    <t>Fatima Noor</t>
  </si>
  <si>
    <t>Usman Ahmed</t>
  </si>
  <si>
    <t>Sana Iqbal</t>
  </si>
  <si>
    <t>Hamza Siddiqui</t>
  </si>
  <si>
    <t>Hira Shah</t>
  </si>
  <si>
    <t>Bilal Hussain</t>
  </si>
  <si>
    <t>Maryam Nawaz</t>
  </si>
  <si>
    <t>Hassan Ali</t>
  </si>
  <si>
    <t>Zainab Aslam</t>
  </si>
  <si>
    <t>Saad Butt</t>
  </si>
  <si>
    <t>Noor Fatima</t>
  </si>
  <si>
    <t>Salman Akhtar</t>
  </si>
  <si>
    <t>Komal Tariq</t>
  </si>
  <si>
    <t>Danish Mehmood</t>
  </si>
  <si>
    <t>Anum Sheikh</t>
  </si>
  <si>
    <t>Farhan Khalid</t>
  </si>
  <si>
    <t>Laiba Khan</t>
  </si>
  <si>
    <t>Imran Yousaf</t>
  </si>
  <si>
    <t>Mahnoor Saleem</t>
  </si>
  <si>
    <t>Shahzaib Rafiq</t>
  </si>
  <si>
    <t>Country</t>
  </si>
  <si>
    <t>Turkey</t>
  </si>
  <si>
    <t>Maldives</t>
  </si>
  <si>
    <t>Italy</t>
  </si>
  <si>
    <t>France</t>
  </si>
  <si>
    <t>Canada</t>
  </si>
  <si>
    <t>USA</t>
  </si>
  <si>
    <t>UK</t>
  </si>
  <si>
    <t>Australia</t>
  </si>
  <si>
    <t>Thailand</t>
  </si>
  <si>
    <t>Newzealand</t>
  </si>
  <si>
    <t>Spain</t>
  </si>
  <si>
    <t>Indonesia</t>
  </si>
  <si>
    <t>Qadir Butt</t>
  </si>
  <si>
    <t>Package Type</t>
  </si>
  <si>
    <t>Luxury</t>
  </si>
  <si>
    <t>Standard</t>
  </si>
  <si>
    <t>Hotel Type</t>
  </si>
  <si>
    <t>Five star</t>
  </si>
  <si>
    <t>four star</t>
  </si>
  <si>
    <t>three star</t>
  </si>
  <si>
    <t>Tahira Butt</t>
  </si>
  <si>
    <t>No of Persons</t>
  </si>
  <si>
    <t>No of Days</t>
  </si>
  <si>
    <t>Economy</t>
  </si>
  <si>
    <t>Package Cost(USD)</t>
  </si>
  <si>
    <t>Visa Cost(USD)</t>
  </si>
  <si>
    <t>Total Cost(USD)</t>
  </si>
  <si>
    <t xml:space="preserve">Packages </t>
  </si>
  <si>
    <t>Packages Prices(more than 6)</t>
  </si>
  <si>
    <t>10000(USD)(Per Person)</t>
  </si>
  <si>
    <t>6500(USD)(Per Person)</t>
  </si>
  <si>
    <t>3000(USD)(Per Person)</t>
  </si>
  <si>
    <t>Packages Prices(less than 6)</t>
  </si>
  <si>
    <t>15000(USD)(Per Person)</t>
  </si>
  <si>
    <t>8000(USD)(Per Person)</t>
  </si>
  <si>
    <t>5000(USD)(Per Person)</t>
  </si>
  <si>
    <t>Country name</t>
  </si>
  <si>
    <t xml:space="preserve">Australia </t>
  </si>
  <si>
    <t>New Zealand</t>
  </si>
  <si>
    <t>Total=</t>
  </si>
  <si>
    <t>Total no of Travelers</t>
  </si>
  <si>
    <t>Total Monthly income(USD)</t>
  </si>
  <si>
    <t>Total</t>
  </si>
  <si>
    <t>Food Expences(USD)</t>
  </si>
  <si>
    <t>Ticket Expences(USD)</t>
  </si>
  <si>
    <t>Hotel Expences</t>
  </si>
  <si>
    <t>Other Expences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</si>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</sst>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'Trip Planner '!$E$1</c:f>
              <c:strCache>
                <c:ptCount val="1"/>
                <c:pt idx="0">
                  <c:v>No of Persons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22-4F8C-BE45-E14DB90072D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22-4F8C-BE45-E14DB90072D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22-4F8C-BE45-E14DB90072D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22-4F8C-BE45-E14DB90072D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22-4F8C-BE45-E14DB90072D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22-4F8C-BE45-E14DB90072D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22-4F8C-BE45-E14DB90072D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22-4F8C-BE45-E14DB90072D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22-4F8C-BE45-E14DB90072D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22-4F8C-BE45-E14DB90072D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822-4F8C-BE45-E14DB90072D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822-4F8C-BE45-E14DB90072D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822-4F8C-BE45-E14DB90072D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822-4F8C-BE45-E14DB90072D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822-4F8C-BE45-E14DB90072D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822-4F8C-BE45-E14DB90072D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822-4F8C-BE45-E14DB90072D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822-4F8C-BE45-E14DB90072D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822-4F8C-BE45-E14DB90072D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822-4F8C-BE45-E14DB90072D9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822-4F8C-BE45-E14DB90072D9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822-4F8C-BE45-E14DB90072D9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822-4F8C-BE45-E14DB90072D9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822-4F8C-BE45-E14DB90072D9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822-4F8C-BE45-E14DB900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'!$E$2:$E$26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335-A12A-684A76DE37A8}"/>
            </c:ext>
          </c:extLst>
        </c:ser>
        <c:ser>
          <c:idx val="1"/>
          <c:order val="1"/>
          <c:tx>
            <c:strRef>
              <c:f>'Trip Planner '!$F$1</c:f>
              <c:strCache>
                <c:ptCount val="1"/>
                <c:pt idx="0">
                  <c:v>No of Days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822-4F8C-BE45-E14DB90072D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822-4F8C-BE45-E14DB90072D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822-4F8C-BE45-E14DB90072D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822-4F8C-BE45-E14DB90072D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822-4F8C-BE45-E14DB90072D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822-4F8C-BE45-E14DB90072D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822-4F8C-BE45-E14DB90072D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822-4F8C-BE45-E14DB90072D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822-4F8C-BE45-E14DB90072D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822-4F8C-BE45-E14DB90072D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822-4F8C-BE45-E14DB90072D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822-4F8C-BE45-E14DB90072D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822-4F8C-BE45-E14DB90072D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822-4F8C-BE45-E14DB90072D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822-4F8C-BE45-E14DB90072D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822-4F8C-BE45-E14DB90072D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822-4F8C-BE45-E14DB90072D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822-4F8C-BE45-E14DB90072D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822-4F8C-BE45-E14DB90072D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822-4F8C-BE45-E14DB90072D9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822-4F8C-BE45-E14DB90072D9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822-4F8C-BE45-E14DB90072D9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822-4F8C-BE45-E14DB90072D9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822-4F8C-BE45-E14DB90072D9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822-4F8C-BE45-E14DB900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'!$F$2:$F$26</c:f>
              <c:numCache>
                <c:formatCode>General</c:formatCode>
                <c:ptCount val="25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B-4335-A12A-684A76DE37A8}"/>
            </c:ext>
          </c:extLst>
        </c:ser>
        <c:ser>
          <c:idx val="2"/>
          <c:order val="2"/>
          <c:tx>
            <c:strRef>
              <c:f>'Trip Planner '!$G$1</c:f>
              <c:strCache>
                <c:ptCount val="1"/>
                <c:pt idx="0">
                  <c:v>Package Cost(USD)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822-4F8C-BE45-E14DB90072D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822-4F8C-BE45-E14DB90072D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822-4F8C-BE45-E14DB90072D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822-4F8C-BE45-E14DB90072D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822-4F8C-BE45-E14DB90072D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F822-4F8C-BE45-E14DB90072D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F822-4F8C-BE45-E14DB90072D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F822-4F8C-BE45-E14DB90072D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F822-4F8C-BE45-E14DB90072D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F822-4F8C-BE45-E14DB90072D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F822-4F8C-BE45-E14DB90072D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F822-4F8C-BE45-E14DB90072D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F822-4F8C-BE45-E14DB90072D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F822-4F8C-BE45-E14DB90072D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F822-4F8C-BE45-E14DB90072D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F822-4F8C-BE45-E14DB90072D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F822-4F8C-BE45-E14DB90072D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F822-4F8C-BE45-E14DB90072D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F822-4F8C-BE45-E14DB90072D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F822-4F8C-BE45-E14DB90072D9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F822-4F8C-BE45-E14DB90072D9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F822-4F8C-BE45-E14DB90072D9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F822-4F8C-BE45-E14DB90072D9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F822-4F8C-BE45-E14DB90072D9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F822-4F8C-BE45-E14DB900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'!$G$2:$G$26</c:f>
              <c:numCache>
                <c:formatCode>General</c:formatCode>
                <c:ptCount val="25"/>
                <c:pt idx="0">
                  <c:v>20000</c:v>
                </c:pt>
                <c:pt idx="1">
                  <c:v>28000</c:v>
                </c:pt>
                <c:pt idx="2">
                  <c:v>5000</c:v>
                </c:pt>
                <c:pt idx="3">
                  <c:v>14000</c:v>
                </c:pt>
                <c:pt idx="4">
                  <c:v>60000</c:v>
                </c:pt>
                <c:pt idx="5">
                  <c:v>42000</c:v>
                </c:pt>
                <c:pt idx="6">
                  <c:v>9000</c:v>
                </c:pt>
                <c:pt idx="7">
                  <c:v>21000</c:v>
                </c:pt>
                <c:pt idx="8">
                  <c:v>15000</c:v>
                </c:pt>
                <c:pt idx="9">
                  <c:v>30000</c:v>
                </c:pt>
                <c:pt idx="10">
                  <c:v>64000</c:v>
                </c:pt>
                <c:pt idx="11">
                  <c:v>6000</c:v>
                </c:pt>
                <c:pt idx="12">
                  <c:v>24000</c:v>
                </c:pt>
                <c:pt idx="13">
                  <c:v>9000</c:v>
                </c:pt>
                <c:pt idx="14">
                  <c:v>25000</c:v>
                </c:pt>
                <c:pt idx="15">
                  <c:v>5000</c:v>
                </c:pt>
                <c:pt idx="16">
                  <c:v>20000</c:v>
                </c:pt>
                <c:pt idx="17">
                  <c:v>32000</c:v>
                </c:pt>
                <c:pt idx="18">
                  <c:v>10000</c:v>
                </c:pt>
                <c:pt idx="19">
                  <c:v>21000</c:v>
                </c:pt>
                <c:pt idx="20">
                  <c:v>15000</c:v>
                </c:pt>
                <c:pt idx="21">
                  <c:v>30000</c:v>
                </c:pt>
                <c:pt idx="22">
                  <c:v>30000</c:v>
                </c:pt>
                <c:pt idx="23">
                  <c:v>12000</c:v>
                </c:pt>
                <c:pt idx="24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B-4335-A12A-684A76DE37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'Trip Planner '!$E$1</c:f>
              <c:strCache>
                <c:ptCount val="1"/>
                <c:pt idx="0">
                  <c:v>No of Persons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'!$E$2:$E$26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F-4412-9EA6-38BC366B482E}"/>
            </c:ext>
          </c:extLst>
        </c:ser>
        <c:ser>
          <c:idx val="1"/>
          <c:order val="1"/>
          <c:tx>
            <c:strRef>
              <c:f>'Trip Planner '!$F$1</c:f>
              <c:strCache>
                <c:ptCount val="1"/>
                <c:pt idx="0">
                  <c:v>No of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'!$F$2:$F$26</c:f>
              <c:numCache>
                <c:formatCode>General</c:formatCode>
                <c:ptCount val="25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F-4412-9EA6-38BC366B482E}"/>
            </c:ext>
          </c:extLst>
        </c:ser>
        <c:ser>
          <c:idx val="2"/>
          <c:order val="2"/>
          <c:tx>
            <c:strRef>
              <c:f>'Trip Planner '!$H$1</c:f>
              <c:strCache>
                <c:ptCount val="1"/>
                <c:pt idx="0">
                  <c:v>Visa Cost(USD)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'!$H$2:$H$26</c:f>
              <c:numCache>
                <c:formatCode>General</c:formatCode>
                <c:ptCount val="25"/>
                <c:pt idx="0">
                  <c:v>400</c:v>
                </c:pt>
                <c:pt idx="1">
                  <c:v>600</c:v>
                </c:pt>
                <c:pt idx="2">
                  <c:v>100</c:v>
                </c:pt>
                <c:pt idx="3">
                  <c:v>300</c:v>
                </c:pt>
                <c:pt idx="4">
                  <c:v>800</c:v>
                </c:pt>
                <c:pt idx="5">
                  <c:v>900</c:v>
                </c:pt>
                <c:pt idx="6">
                  <c:v>300</c:v>
                </c:pt>
                <c:pt idx="7">
                  <c:v>450</c:v>
                </c:pt>
                <c:pt idx="8">
                  <c:v>500</c:v>
                </c:pt>
                <c:pt idx="9">
                  <c:v>600</c:v>
                </c:pt>
                <c:pt idx="10">
                  <c:v>1200</c:v>
                </c:pt>
                <c:pt idx="11">
                  <c:v>200</c:v>
                </c:pt>
                <c:pt idx="12">
                  <c:v>450</c:v>
                </c:pt>
                <c:pt idx="13">
                  <c:v>300</c:v>
                </c:pt>
                <c:pt idx="14">
                  <c:v>500</c:v>
                </c:pt>
                <c:pt idx="15">
                  <c:v>100</c:v>
                </c:pt>
                <c:pt idx="16">
                  <c:v>400</c:v>
                </c:pt>
                <c:pt idx="17">
                  <c:v>600</c:v>
                </c:pt>
                <c:pt idx="18">
                  <c:v>200</c:v>
                </c:pt>
                <c:pt idx="19">
                  <c:v>450</c:v>
                </c:pt>
                <c:pt idx="20">
                  <c:v>500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F-4412-9EA6-38BC366B48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132175"/>
        <c:axId val="39136975"/>
      </c:lineChart>
      <c:catAx>
        <c:axId val="3913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6975"/>
        <c:crosses val="autoZero"/>
        <c:auto val="1"/>
        <c:lblAlgn val="ctr"/>
        <c:lblOffset val="100"/>
        <c:noMultiLvlLbl val="0"/>
      </c:catAx>
      <c:valAx>
        <c:axId val="391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'Trip Planner '!$E$1</c:f>
              <c:strCache>
                <c:ptCount val="1"/>
                <c:pt idx="0">
                  <c:v>No of Persons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'!$E$2:$E$26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8-4B8F-AD8A-2A88A040EFFE}"/>
            </c:ext>
          </c:extLst>
        </c:ser>
        <c:ser>
          <c:idx val="1"/>
          <c:order val="1"/>
          <c:tx>
            <c:strRef>
              <c:f>'Trip Planner '!$F$1</c:f>
              <c:strCache>
                <c:ptCount val="1"/>
                <c:pt idx="0">
                  <c:v>No of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'!$F$2:$F$26</c:f>
              <c:numCache>
                <c:formatCode>General</c:formatCode>
                <c:ptCount val="25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6</c:v>
                </c:pt>
                <c:pt idx="2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8-4B8F-AD8A-2A88A040EFFE}"/>
            </c:ext>
          </c:extLst>
        </c:ser>
        <c:ser>
          <c:idx val="2"/>
          <c:order val="2"/>
          <c:tx>
            <c:strRef>
              <c:f>'Trip Planner '!$I$1</c:f>
              <c:strCache>
                <c:ptCount val="1"/>
                <c:pt idx="0">
                  <c:v>Total Cost(USD)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'Trip Planner '!$A$2:$D$26</c:f>
              <c:multiLvlStrCache>
                <c:ptCount val="25"/>
                <c:lvl>
                  <c:pt idx="0">
                    <c:v>Five star</c:v>
                  </c:pt>
                  <c:pt idx="1">
                    <c:v>four star</c:v>
                  </c:pt>
                  <c:pt idx="2">
                    <c:v>three star</c:v>
                  </c:pt>
                  <c:pt idx="3">
                    <c:v>four star</c:v>
                  </c:pt>
                  <c:pt idx="4">
                    <c:v>Five star</c:v>
                  </c:pt>
                  <c:pt idx="5">
                    <c:v>four star</c:v>
                  </c:pt>
                  <c:pt idx="6">
                    <c:v>three star</c:v>
                  </c:pt>
                  <c:pt idx="7">
                    <c:v>four star</c:v>
                  </c:pt>
                  <c:pt idx="8">
                    <c:v>three star</c:v>
                  </c:pt>
                  <c:pt idx="9">
                    <c:v>Five star</c:v>
                  </c:pt>
                  <c:pt idx="10">
                    <c:v>four star</c:v>
                  </c:pt>
                  <c:pt idx="11">
                    <c:v>three star</c:v>
                  </c:pt>
                  <c:pt idx="12">
                    <c:v>four star</c:v>
                  </c:pt>
                  <c:pt idx="13">
                    <c:v>three star</c:v>
                  </c:pt>
                  <c:pt idx="14">
                    <c:v>three star</c:v>
                  </c:pt>
                  <c:pt idx="15">
                    <c:v>three star</c:v>
                  </c:pt>
                  <c:pt idx="16">
                    <c:v>Five star</c:v>
                  </c:pt>
                  <c:pt idx="17">
                    <c:v>four star</c:v>
                  </c:pt>
                  <c:pt idx="18">
                    <c:v>three star</c:v>
                  </c:pt>
                  <c:pt idx="19">
                    <c:v>four star</c:v>
                  </c:pt>
                  <c:pt idx="20">
                    <c:v>three star</c:v>
                  </c:pt>
                  <c:pt idx="21">
                    <c:v>Five star</c:v>
                  </c:pt>
                  <c:pt idx="22">
                    <c:v>Five star</c:v>
                  </c:pt>
                  <c:pt idx="23">
                    <c:v>four star</c:v>
                  </c:pt>
                  <c:pt idx="24">
                    <c:v>four star</c:v>
                  </c:pt>
                </c:lvl>
                <c:lvl>
                  <c:pt idx="0">
                    <c:v>Luxury</c:v>
                  </c:pt>
                  <c:pt idx="1">
                    <c:v>Standard</c:v>
                  </c:pt>
                  <c:pt idx="2">
                    <c:v>Economy</c:v>
                  </c:pt>
                  <c:pt idx="3">
                    <c:v>Standard</c:v>
                  </c:pt>
                  <c:pt idx="4">
                    <c:v>Luxury</c:v>
                  </c:pt>
                  <c:pt idx="5">
                    <c:v>Standard</c:v>
                  </c:pt>
                  <c:pt idx="6">
                    <c:v>Economy</c:v>
                  </c:pt>
                  <c:pt idx="7">
                    <c:v>Standard</c:v>
                  </c:pt>
                  <c:pt idx="8">
                    <c:v>Economy</c:v>
                  </c:pt>
                  <c:pt idx="9">
                    <c:v>Luxury</c:v>
                  </c:pt>
                  <c:pt idx="10">
                    <c:v>Standard</c:v>
                  </c:pt>
                  <c:pt idx="11">
                    <c:v>Economy</c:v>
                  </c:pt>
                  <c:pt idx="12">
                    <c:v>Standard</c:v>
                  </c:pt>
                  <c:pt idx="13">
                    <c:v>Economy</c:v>
                  </c:pt>
                  <c:pt idx="14">
                    <c:v>Economy</c:v>
                  </c:pt>
                  <c:pt idx="15">
                    <c:v>Economy</c:v>
                  </c:pt>
                  <c:pt idx="16">
                    <c:v>Luxury</c:v>
                  </c:pt>
                  <c:pt idx="17">
                    <c:v>Standard</c:v>
                  </c:pt>
                  <c:pt idx="18">
                    <c:v>Economy</c:v>
                  </c:pt>
                  <c:pt idx="19">
                    <c:v>Standard</c:v>
                  </c:pt>
                  <c:pt idx="20">
                    <c:v>Economy</c:v>
                  </c:pt>
                  <c:pt idx="21">
                    <c:v>Luxury</c:v>
                  </c:pt>
                  <c:pt idx="22">
                    <c:v>Luxury</c:v>
                  </c:pt>
                  <c:pt idx="23">
                    <c:v>Economy</c:v>
                  </c:pt>
                  <c:pt idx="24">
                    <c:v>Standard</c:v>
                  </c:pt>
                </c:lvl>
                <c:lvl>
                  <c:pt idx="0">
                    <c:v>Turkey</c:v>
                  </c:pt>
                  <c:pt idx="1">
                    <c:v>Maldives</c:v>
                  </c:pt>
                  <c:pt idx="2">
                    <c:v>Spain</c:v>
                  </c:pt>
                  <c:pt idx="3">
                    <c:v>Turkey</c:v>
                  </c:pt>
                  <c:pt idx="4">
                    <c:v>USA</c:v>
                  </c:pt>
                  <c:pt idx="5">
                    <c:v>Italy</c:v>
                  </c:pt>
                  <c:pt idx="6">
                    <c:v>Maldives</c:v>
                  </c:pt>
                  <c:pt idx="7">
                    <c:v>France</c:v>
                  </c:pt>
                  <c:pt idx="8">
                    <c:v>Spain</c:v>
                  </c:pt>
                  <c:pt idx="9">
                    <c:v>UK</c:v>
                  </c:pt>
                  <c:pt idx="10">
                    <c:v>Canada</c:v>
                  </c:pt>
                  <c:pt idx="11">
                    <c:v>Indonesia</c:v>
                  </c:pt>
                  <c:pt idx="12">
                    <c:v>Newzealand</c:v>
                  </c:pt>
                  <c:pt idx="13">
                    <c:v>Australia</c:v>
                  </c:pt>
                  <c:pt idx="14">
                    <c:v>USA</c:v>
                  </c:pt>
                  <c:pt idx="15">
                    <c:v>Canada</c:v>
                  </c:pt>
                  <c:pt idx="16">
                    <c:v>Italy</c:v>
                  </c:pt>
                  <c:pt idx="17">
                    <c:v>Newzealand</c:v>
                  </c:pt>
                  <c:pt idx="18">
                    <c:v>Australia</c:v>
                  </c:pt>
                  <c:pt idx="19">
                    <c:v>Maldives</c:v>
                  </c:pt>
                  <c:pt idx="20">
                    <c:v>UK</c:v>
                  </c:pt>
                  <c:pt idx="21">
                    <c:v>Thailand</c:v>
                  </c:pt>
                  <c:pt idx="22">
                    <c:v>Thailand</c:v>
                  </c:pt>
                  <c:pt idx="23">
                    <c:v>France</c:v>
                  </c:pt>
                  <c:pt idx="24">
                    <c:v>Turkey</c:v>
                  </c:pt>
                </c:lvl>
                <c:lvl>
                  <c:pt idx="0">
                    <c:v>Ali Khan</c:v>
                  </c:pt>
                  <c:pt idx="1">
                    <c:v>Ayesha Malik</c:v>
                  </c:pt>
                  <c:pt idx="2">
                    <c:v>Ahmed Raza</c:v>
                  </c:pt>
                  <c:pt idx="3">
                    <c:v>Fatima Noor</c:v>
                  </c:pt>
                  <c:pt idx="4">
                    <c:v>Usman Ahmed</c:v>
                  </c:pt>
                  <c:pt idx="5">
                    <c:v>Sana Iqbal</c:v>
                  </c:pt>
                  <c:pt idx="6">
                    <c:v>Hamza Siddiqui</c:v>
                  </c:pt>
                  <c:pt idx="7">
                    <c:v>Hira Shah</c:v>
                  </c:pt>
                  <c:pt idx="8">
                    <c:v>Bilal Hussain</c:v>
                  </c:pt>
                  <c:pt idx="9">
                    <c:v>Maryam Nawaz</c:v>
                  </c:pt>
                  <c:pt idx="10">
                    <c:v>Hassan Ali</c:v>
                  </c:pt>
                  <c:pt idx="11">
                    <c:v>Zainab Aslam</c:v>
                  </c:pt>
                  <c:pt idx="12">
                    <c:v>Saad Butt</c:v>
                  </c:pt>
                  <c:pt idx="13">
                    <c:v>Noor Fatima</c:v>
                  </c:pt>
                  <c:pt idx="14">
                    <c:v>Salman Akhtar</c:v>
                  </c:pt>
                  <c:pt idx="15">
                    <c:v>Komal Tariq</c:v>
                  </c:pt>
                  <c:pt idx="16">
                    <c:v>Danish Mehmood</c:v>
                  </c:pt>
                  <c:pt idx="17">
                    <c:v>Anum Sheikh</c:v>
                  </c:pt>
                  <c:pt idx="18">
                    <c:v>Farhan Khalid</c:v>
                  </c:pt>
                  <c:pt idx="19">
                    <c:v>Laiba Khan</c:v>
                  </c:pt>
                  <c:pt idx="20">
                    <c:v>Imran Yousaf</c:v>
                  </c:pt>
                  <c:pt idx="21">
                    <c:v>Qadir Butt</c:v>
                  </c:pt>
                  <c:pt idx="22">
                    <c:v>Tahira Butt</c:v>
                  </c:pt>
                  <c:pt idx="23">
                    <c:v>Mahnoor Saleem</c:v>
                  </c:pt>
                  <c:pt idx="24">
                    <c:v>Shahzaib Rafiq</c:v>
                  </c:pt>
                </c:lvl>
              </c:multiLvlStrCache>
            </c:multiLvlStrRef>
          </c:cat>
          <c:val>
            <c:numRef>
              <c:f>'Trip Planner '!$I$2:$I$26</c:f>
              <c:numCache>
                <c:formatCode>General</c:formatCode>
                <c:ptCount val="25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8-4B8F-AD8A-2A88A040E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31695"/>
        <c:axId val="39144175"/>
      </c:barChart>
      <c:catAx>
        <c:axId val="3913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4175"/>
        <c:crosses val="autoZero"/>
        <c:auto val="1"/>
        <c:lblAlgn val="ctr"/>
        <c:lblOffset val="100"/>
        <c:noMultiLvlLbl val="0"/>
      </c:catAx>
      <c:valAx>
        <c:axId val="3914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No of Persons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1E-4DC7-A837-E7AD07FAB1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1E-4DC7-A837-E7AD07FAB1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1E-4DC7-A837-E7AD07FAB1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1E-4DC7-A837-E7AD07FAB1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1E-4DC7-A837-E7AD07FAB1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1E-4DC7-A837-E7AD07FAB1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1E-4DC7-A837-E7AD07FAB1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1E-4DC7-A837-E7AD07FAB1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41E-4DC7-A837-E7AD07FAB1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41E-4DC7-A837-E7AD07FAB1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41E-4DC7-A837-E7AD07FAB1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41E-4DC7-A837-E7AD07FAB1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41E-4DC7-A837-E7AD07FAB1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41E-4DC7-A837-E7AD07FAB1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41E-4DC7-A837-E7AD07FAB17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41E-4DC7-A837-E7AD07FAB1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41E-4DC7-A837-E7AD07FAB1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41E-4DC7-A837-E7AD07FAB17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41E-4DC7-A837-E7AD07FAB17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41E-4DC7-A837-E7AD07FAB17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41E-4DC7-A837-E7AD07FAB17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41E-4DC7-A837-E7AD07FAB17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41E-4DC7-A837-E7AD07FAB17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41E-4DC7-A837-E7AD07FAB17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41E-4DC7-A837-E7AD07FAB17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41E-4DC7-A837-E7AD07FAB17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41E-4DC7-A837-E7AD07FAB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Analysis!$B$2:$B$28</c:f>
              <c:numCache>
                <c:formatCode>General</c:formatCode>
                <c:ptCount val="27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13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2-4DD9-B067-800B87A78110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Total Monthly income(USD)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41E-4DC7-A837-E7AD07FAB1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41E-4DC7-A837-E7AD07FAB1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41E-4DC7-A837-E7AD07FAB1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41E-4DC7-A837-E7AD07FAB1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41E-4DC7-A837-E7AD07FAB1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41E-4DC7-A837-E7AD07FAB1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41E-4DC7-A837-E7AD07FAB1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41E-4DC7-A837-E7AD07FAB1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41E-4DC7-A837-E7AD07FAB1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41E-4DC7-A837-E7AD07FAB1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41E-4DC7-A837-E7AD07FAB1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41E-4DC7-A837-E7AD07FAB1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41E-4DC7-A837-E7AD07FAB1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41E-4DC7-A837-E7AD07FAB1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41E-4DC7-A837-E7AD07FAB17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41E-4DC7-A837-E7AD07FAB1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41E-4DC7-A837-E7AD07FAB1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41E-4DC7-A837-E7AD07FAB17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41E-4DC7-A837-E7AD07FAB17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41E-4DC7-A837-E7AD07FAB17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41E-4DC7-A837-E7AD07FAB17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41E-4DC7-A837-E7AD07FAB17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41E-4DC7-A837-E7AD07FAB17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41E-4DC7-A837-E7AD07FAB17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41E-4DC7-A837-E7AD07FAB17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41E-4DC7-A837-E7AD07FAB17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41E-4DC7-A837-E7AD07FAB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Analysis!$E$2:$E$28</c:f>
              <c:numCache>
                <c:formatCode>General</c:formatCode>
                <c:ptCount val="27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  <c:pt idx="25">
                  <c:v>0</c:v>
                </c:pt>
                <c:pt idx="26">
                  <c:v>593800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2-4DD9-B067-800B87A781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800196850393702"/>
          <c:y val="0.40062518226888316"/>
          <c:w val="0.61403565179352582"/>
          <c:h val="0.398533829104695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Monthly income(USD)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Analysis!$E$2:$E$28</c:f>
              <c:numCache>
                <c:formatCode>General</c:formatCode>
                <c:ptCount val="27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  <c:pt idx="25">
                  <c:v>0</c:v>
                </c:pt>
                <c:pt idx="26">
                  <c:v>593800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0-417B-B012-E49ECBF4A870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Food Expences(USD)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Analysis!$F$2:$F$28</c:f>
              <c:numCache>
                <c:formatCode>0.0%</c:formatCode>
                <c:ptCount val="27"/>
                <c:pt idx="0">
                  <c:v>4080</c:v>
                </c:pt>
                <c:pt idx="1">
                  <c:v>5720</c:v>
                </c:pt>
                <c:pt idx="2">
                  <c:v>1020</c:v>
                </c:pt>
                <c:pt idx="3">
                  <c:v>2860</c:v>
                </c:pt>
                <c:pt idx="4">
                  <c:v>12160</c:v>
                </c:pt>
                <c:pt idx="5">
                  <c:v>8580</c:v>
                </c:pt>
                <c:pt idx="6">
                  <c:v>1860</c:v>
                </c:pt>
                <c:pt idx="7">
                  <c:v>4290</c:v>
                </c:pt>
                <c:pt idx="8">
                  <c:v>3100</c:v>
                </c:pt>
                <c:pt idx="9">
                  <c:v>6120</c:v>
                </c:pt>
                <c:pt idx="10">
                  <c:v>13040</c:v>
                </c:pt>
                <c:pt idx="11">
                  <c:v>1240</c:v>
                </c:pt>
                <c:pt idx="12">
                  <c:v>4890</c:v>
                </c:pt>
                <c:pt idx="13">
                  <c:v>1860</c:v>
                </c:pt>
                <c:pt idx="14">
                  <c:v>5100</c:v>
                </c:pt>
                <c:pt idx="15">
                  <c:v>1020</c:v>
                </c:pt>
                <c:pt idx="16">
                  <c:v>4080</c:v>
                </c:pt>
                <c:pt idx="17">
                  <c:v>6520</c:v>
                </c:pt>
                <c:pt idx="18">
                  <c:v>2040</c:v>
                </c:pt>
                <c:pt idx="19">
                  <c:v>4290</c:v>
                </c:pt>
                <c:pt idx="20">
                  <c:v>3100</c:v>
                </c:pt>
                <c:pt idx="21">
                  <c:v>6080</c:v>
                </c:pt>
                <c:pt idx="22">
                  <c:v>6080</c:v>
                </c:pt>
                <c:pt idx="23">
                  <c:v>2480</c:v>
                </c:pt>
                <c:pt idx="24">
                  <c:v>7150</c:v>
                </c:pt>
                <c:pt idx="25">
                  <c:v>0</c:v>
                </c:pt>
                <c:pt idx="26">
                  <c:v>118760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0-417B-B012-E49ECBF4A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4119807"/>
        <c:axId val="1174120767"/>
      </c:barChart>
      <c:catAx>
        <c:axId val="11741198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20767"/>
        <c:crosses val="autoZero"/>
        <c:auto val="1"/>
        <c:lblAlgn val="ctr"/>
        <c:lblOffset val="100"/>
        <c:noMultiLvlLbl val="0"/>
      </c:catAx>
      <c:valAx>
        <c:axId val="11741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19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Total Monthly income(USD)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76-4994-8A95-62643343BB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76-4994-8A95-62643343BB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76-4994-8A95-62643343BB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76-4994-8A95-62643343BB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76-4994-8A95-62643343BB2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76-4994-8A95-62643343BB2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76-4994-8A95-62643343BB2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76-4994-8A95-62643343BB2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276-4994-8A95-62643343BB2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276-4994-8A95-62643343BB2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276-4994-8A95-62643343BB2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276-4994-8A95-62643343BB2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276-4994-8A95-62643343BB2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276-4994-8A95-62643343BB2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276-4994-8A95-62643343BB2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276-4994-8A95-62643343BB2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276-4994-8A95-62643343BB2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276-4994-8A95-62643343BB2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276-4994-8A95-62643343BB2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276-4994-8A95-62643343BB2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276-4994-8A95-62643343BB2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276-4994-8A95-62643343BB2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276-4994-8A95-62643343BB2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276-4994-8A95-62643343BB2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276-4994-8A95-62643343BB2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276-4994-8A95-62643343BB2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276-4994-8A95-62643343BB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Analysis!$E$2:$E$28</c:f>
              <c:numCache>
                <c:formatCode>General</c:formatCode>
                <c:ptCount val="27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  <c:pt idx="25">
                  <c:v>0</c:v>
                </c:pt>
                <c:pt idx="26">
                  <c:v>593800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1-43C9-A417-0A7513FB2FF4}"/>
            </c:ext>
          </c:extLst>
        </c:ser>
        <c:ser>
          <c:idx val="1"/>
          <c:order val="1"/>
          <c:tx>
            <c:strRef>
              <c:f>Analysis!$G$1</c:f>
              <c:strCache>
                <c:ptCount val="1"/>
                <c:pt idx="0">
                  <c:v>Ticket Expences(USD)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276-4994-8A95-62643343BB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276-4994-8A95-62643343BB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276-4994-8A95-62643343BB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276-4994-8A95-62643343BB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276-4994-8A95-62643343BB2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276-4994-8A95-62643343BB2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276-4994-8A95-62643343BB2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276-4994-8A95-62643343BB2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276-4994-8A95-62643343BB2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276-4994-8A95-62643343BB2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276-4994-8A95-62643343BB2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276-4994-8A95-62643343BB2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276-4994-8A95-62643343BB2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276-4994-8A95-62643343BB2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276-4994-8A95-62643343BB2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276-4994-8A95-62643343BB2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276-4994-8A95-62643343BB2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276-4994-8A95-62643343BB2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276-4994-8A95-62643343BB2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276-4994-8A95-62643343BB2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276-4994-8A95-62643343BB2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276-4994-8A95-62643343BB2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276-4994-8A95-62643343BB2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276-4994-8A95-62643343BB2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276-4994-8A95-62643343BB2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D276-4994-8A95-62643343BB2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D276-4994-8A95-62643343BB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Analysis!$G$2:$G$28</c:f>
              <c:numCache>
                <c:formatCode>General</c:formatCode>
                <c:ptCount val="27"/>
                <c:pt idx="0">
                  <c:v>7140</c:v>
                </c:pt>
                <c:pt idx="1">
                  <c:v>10010</c:v>
                </c:pt>
                <c:pt idx="2">
                  <c:v>1785</c:v>
                </c:pt>
                <c:pt idx="3">
                  <c:v>5005</c:v>
                </c:pt>
                <c:pt idx="4">
                  <c:v>21280</c:v>
                </c:pt>
                <c:pt idx="5">
                  <c:v>15014.999999999998</c:v>
                </c:pt>
                <c:pt idx="6">
                  <c:v>3255</c:v>
                </c:pt>
                <c:pt idx="7">
                  <c:v>7507.4999999999991</c:v>
                </c:pt>
                <c:pt idx="8">
                  <c:v>5425</c:v>
                </c:pt>
                <c:pt idx="9">
                  <c:v>10710</c:v>
                </c:pt>
                <c:pt idx="10">
                  <c:v>22820</c:v>
                </c:pt>
                <c:pt idx="11">
                  <c:v>2170</c:v>
                </c:pt>
                <c:pt idx="12">
                  <c:v>8557.5</c:v>
                </c:pt>
                <c:pt idx="13">
                  <c:v>3255</c:v>
                </c:pt>
                <c:pt idx="14">
                  <c:v>8925</c:v>
                </c:pt>
                <c:pt idx="15">
                  <c:v>1785</c:v>
                </c:pt>
                <c:pt idx="16">
                  <c:v>7140</c:v>
                </c:pt>
                <c:pt idx="17">
                  <c:v>11410</c:v>
                </c:pt>
                <c:pt idx="18">
                  <c:v>3570</c:v>
                </c:pt>
                <c:pt idx="19">
                  <c:v>7507.4999999999991</c:v>
                </c:pt>
                <c:pt idx="20">
                  <c:v>5425</c:v>
                </c:pt>
                <c:pt idx="21">
                  <c:v>10640</c:v>
                </c:pt>
                <c:pt idx="22">
                  <c:v>10640</c:v>
                </c:pt>
                <c:pt idx="23">
                  <c:v>4340</c:v>
                </c:pt>
                <c:pt idx="24">
                  <c:v>12512.5</c:v>
                </c:pt>
                <c:pt idx="25">
                  <c:v>0</c:v>
                </c:pt>
                <c:pt idx="26">
                  <c:v>207830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1-43C9-A417-0A7513FB2F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28193350831147"/>
          <c:y val="0.3120840624088656"/>
          <c:w val="0.69242957130358707"/>
          <c:h val="0.44020049577136189"/>
        </c:manualLayout>
      </c:layout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Monthly income(USD)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Analysis!$E$2:$E$28</c:f>
              <c:numCache>
                <c:formatCode>General</c:formatCode>
                <c:ptCount val="27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  <c:pt idx="25">
                  <c:v>0</c:v>
                </c:pt>
                <c:pt idx="26">
                  <c:v>593800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E-418D-9C6F-F753F17F9C9D}"/>
            </c:ext>
          </c:extLst>
        </c:ser>
        <c:ser>
          <c:idx val="1"/>
          <c:order val="1"/>
          <c:tx>
            <c:strRef>
              <c:f>Analysis!$H$1</c:f>
              <c:strCache>
                <c:ptCount val="1"/>
                <c:pt idx="0">
                  <c:v>Hotel Expences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Analysis!$H$2:$H$28</c:f>
              <c:numCache>
                <c:formatCode>General</c:formatCode>
                <c:ptCount val="27"/>
                <c:pt idx="0">
                  <c:v>5100</c:v>
                </c:pt>
                <c:pt idx="1">
                  <c:v>7150</c:v>
                </c:pt>
                <c:pt idx="2">
                  <c:v>1275</c:v>
                </c:pt>
                <c:pt idx="3">
                  <c:v>3575</c:v>
                </c:pt>
                <c:pt idx="4">
                  <c:v>15200</c:v>
                </c:pt>
                <c:pt idx="5">
                  <c:v>10725</c:v>
                </c:pt>
                <c:pt idx="6">
                  <c:v>2325</c:v>
                </c:pt>
                <c:pt idx="7">
                  <c:v>5362.5</c:v>
                </c:pt>
                <c:pt idx="8">
                  <c:v>3875</c:v>
                </c:pt>
                <c:pt idx="9">
                  <c:v>7650</c:v>
                </c:pt>
                <c:pt idx="10">
                  <c:v>16300</c:v>
                </c:pt>
                <c:pt idx="11">
                  <c:v>1550</c:v>
                </c:pt>
                <c:pt idx="12">
                  <c:v>6112.5</c:v>
                </c:pt>
                <c:pt idx="13">
                  <c:v>2325</c:v>
                </c:pt>
                <c:pt idx="14">
                  <c:v>6375</c:v>
                </c:pt>
                <c:pt idx="15">
                  <c:v>1275</c:v>
                </c:pt>
                <c:pt idx="16">
                  <c:v>5100</c:v>
                </c:pt>
                <c:pt idx="17">
                  <c:v>8150</c:v>
                </c:pt>
                <c:pt idx="18">
                  <c:v>2550</c:v>
                </c:pt>
                <c:pt idx="19">
                  <c:v>5362.5</c:v>
                </c:pt>
                <c:pt idx="20">
                  <c:v>3875</c:v>
                </c:pt>
                <c:pt idx="21">
                  <c:v>7600</c:v>
                </c:pt>
                <c:pt idx="22">
                  <c:v>7600</c:v>
                </c:pt>
                <c:pt idx="23">
                  <c:v>3100</c:v>
                </c:pt>
                <c:pt idx="24">
                  <c:v>8937.5</c:v>
                </c:pt>
                <c:pt idx="25">
                  <c:v>0</c:v>
                </c:pt>
                <c:pt idx="26">
                  <c:v>148450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2E-418D-9C6F-F753F17F9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530399"/>
        <c:axId val="1250529439"/>
      </c:lineChart>
      <c:catAx>
        <c:axId val="1250530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29439"/>
        <c:crosses val="autoZero"/>
        <c:auto val="1"/>
        <c:lblAlgn val="ctr"/>
        <c:lblOffset val="100"/>
        <c:noMultiLvlLbl val="0"/>
      </c:catAx>
      <c:valAx>
        <c:axId val="12505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30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324059492563431"/>
          <c:y val="0.30076443569553807"/>
          <c:w val="0.69020756780402448"/>
          <c:h val="0.45152012248468942"/>
        </c:manualLayout>
      </c:layout>
      <c:lineChart>
        <c:grouping val="stack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Monthly income(USD)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Analysis!$E$2:$E$28</c:f>
              <c:numCache>
                <c:formatCode>General</c:formatCode>
                <c:ptCount val="27"/>
                <c:pt idx="0">
                  <c:v>20400</c:v>
                </c:pt>
                <c:pt idx="1">
                  <c:v>28600</c:v>
                </c:pt>
                <c:pt idx="2">
                  <c:v>5100</c:v>
                </c:pt>
                <c:pt idx="3">
                  <c:v>14300</c:v>
                </c:pt>
                <c:pt idx="4">
                  <c:v>60800</c:v>
                </c:pt>
                <c:pt idx="5">
                  <c:v>42900</c:v>
                </c:pt>
                <c:pt idx="6">
                  <c:v>9300</c:v>
                </c:pt>
                <c:pt idx="7">
                  <c:v>21450</c:v>
                </c:pt>
                <c:pt idx="8">
                  <c:v>15500</c:v>
                </c:pt>
                <c:pt idx="9">
                  <c:v>30600</c:v>
                </c:pt>
                <c:pt idx="10">
                  <c:v>65200</c:v>
                </c:pt>
                <c:pt idx="11">
                  <c:v>6200</c:v>
                </c:pt>
                <c:pt idx="12">
                  <c:v>24450</c:v>
                </c:pt>
                <c:pt idx="13">
                  <c:v>9300</c:v>
                </c:pt>
                <c:pt idx="14">
                  <c:v>25500</c:v>
                </c:pt>
                <c:pt idx="15">
                  <c:v>5100</c:v>
                </c:pt>
                <c:pt idx="16">
                  <c:v>20400</c:v>
                </c:pt>
                <c:pt idx="17">
                  <c:v>32600</c:v>
                </c:pt>
                <c:pt idx="18">
                  <c:v>10200</c:v>
                </c:pt>
                <c:pt idx="19">
                  <c:v>21450</c:v>
                </c:pt>
                <c:pt idx="20">
                  <c:v>15500</c:v>
                </c:pt>
                <c:pt idx="21">
                  <c:v>30400</c:v>
                </c:pt>
                <c:pt idx="22">
                  <c:v>30400</c:v>
                </c:pt>
                <c:pt idx="23">
                  <c:v>12400</c:v>
                </c:pt>
                <c:pt idx="24">
                  <c:v>35750</c:v>
                </c:pt>
                <c:pt idx="25">
                  <c:v>0</c:v>
                </c:pt>
                <c:pt idx="26">
                  <c:v>593800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8-4408-9C4D-5BCBD0D02BBC}"/>
            </c:ext>
          </c:extLst>
        </c:ser>
        <c:ser>
          <c:idx val="1"/>
          <c:order val="1"/>
          <c:tx>
            <c:strRef>
              <c:f>Analysis!$I$1</c:f>
              <c:strCache>
                <c:ptCount val="1"/>
                <c:pt idx="0">
                  <c:v>Other Expences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Analysis!$I$2:$I$28</c:f>
              <c:numCache>
                <c:formatCode>General</c:formatCode>
                <c:ptCount val="27"/>
                <c:pt idx="0">
                  <c:v>2040</c:v>
                </c:pt>
                <c:pt idx="1">
                  <c:v>2860</c:v>
                </c:pt>
                <c:pt idx="2">
                  <c:v>510</c:v>
                </c:pt>
                <c:pt idx="3">
                  <c:v>1430</c:v>
                </c:pt>
                <c:pt idx="4">
                  <c:v>6080</c:v>
                </c:pt>
                <c:pt idx="5">
                  <c:v>4290</c:v>
                </c:pt>
                <c:pt idx="6">
                  <c:v>930</c:v>
                </c:pt>
                <c:pt idx="7">
                  <c:v>2145</c:v>
                </c:pt>
                <c:pt idx="8">
                  <c:v>1550</c:v>
                </c:pt>
                <c:pt idx="9">
                  <c:v>3060</c:v>
                </c:pt>
                <c:pt idx="10">
                  <c:v>6520</c:v>
                </c:pt>
                <c:pt idx="11">
                  <c:v>620</c:v>
                </c:pt>
                <c:pt idx="12">
                  <c:v>2445</c:v>
                </c:pt>
                <c:pt idx="13">
                  <c:v>930</c:v>
                </c:pt>
                <c:pt idx="14">
                  <c:v>2550</c:v>
                </c:pt>
                <c:pt idx="15">
                  <c:v>510</c:v>
                </c:pt>
                <c:pt idx="16">
                  <c:v>2040</c:v>
                </c:pt>
                <c:pt idx="17">
                  <c:v>3260</c:v>
                </c:pt>
                <c:pt idx="18">
                  <c:v>1020</c:v>
                </c:pt>
                <c:pt idx="19">
                  <c:v>2145</c:v>
                </c:pt>
                <c:pt idx="20">
                  <c:v>1550</c:v>
                </c:pt>
                <c:pt idx="21">
                  <c:v>3040</c:v>
                </c:pt>
                <c:pt idx="22">
                  <c:v>3040</c:v>
                </c:pt>
                <c:pt idx="23">
                  <c:v>1240</c:v>
                </c:pt>
                <c:pt idx="24">
                  <c:v>3575</c:v>
                </c:pt>
                <c:pt idx="25">
                  <c:v>0</c:v>
                </c:pt>
                <c:pt idx="26">
                  <c:v>59380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8-4408-9C4D-5BCBD0D0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473263"/>
        <c:axId val="1301474223"/>
      </c:lineChart>
      <c:catAx>
        <c:axId val="130147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74223"/>
        <c:crosses val="autoZero"/>
        <c:auto val="1"/>
        <c:lblAlgn val="ctr"/>
        <c:lblOffset val="100"/>
        <c:noMultiLvlLbl val="0"/>
      </c:catAx>
      <c:valAx>
        <c:axId val="13014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73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01881014873141"/>
          <c:y val="0.23858814523184602"/>
          <c:w val="0.8396412948381452"/>
          <c:h val="0.5889570574511519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Analysis!$E$1:$E$28</c:f>
              <c:numCache>
                <c:formatCode>General</c:formatCode>
                <c:ptCount val="28"/>
                <c:pt idx="0">
                  <c:v>0</c:v>
                </c:pt>
                <c:pt idx="1">
                  <c:v>20400</c:v>
                </c:pt>
                <c:pt idx="2">
                  <c:v>28600</c:v>
                </c:pt>
                <c:pt idx="3">
                  <c:v>5100</c:v>
                </c:pt>
                <c:pt idx="4">
                  <c:v>14300</c:v>
                </c:pt>
                <c:pt idx="5">
                  <c:v>60800</c:v>
                </c:pt>
                <c:pt idx="6">
                  <c:v>42900</c:v>
                </c:pt>
                <c:pt idx="7">
                  <c:v>9300</c:v>
                </c:pt>
                <c:pt idx="8">
                  <c:v>21450</c:v>
                </c:pt>
                <c:pt idx="9">
                  <c:v>15500</c:v>
                </c:pt>
                <c:pt idx="10">
                  <c:v>30600</c:v>
                </c:pt>
                <c:pt idx="11">
                  <c:v>65200</c:v>
                </c:pt>
                <c:pt idx="12">
                  <c:v>6200</c:v>
                </c:pt>
                <c:pt idx="13">
                  <c:v>24450</c:v>
                </c:pt>
                <c:pt idx="14">
                  <c:v>9300</c:v>
                </c:pt>
                <c:pt idx="15">
                  <c:v>25500</c:v>
                </c:pt>
                <c:pt idx="16">
                  <c:v>5100</c:v>
                </c:pt>
                <c:pt idx="17">
                  <c:v>20400</c:v>
                </c:pt>
                <c:pt idx="18">
                  <c:v>32600</c:v>
                </c:pt>
                <c:pt idx="19">
                  <c:v>10200</c:v>
                </c:pt>
                <c:pt idx="20">
                  <c:v>21450</c:v>
                </c:pt>
                <c:pt idx="21">
                  <c:v>15500</c:v>
                </c:pt>
                <c:pt idx="22">
                  <c:v>30400</c:v>
                </c:pt>
                <c:pt idx="23">
                  <c:v>30400</c:v>
                </c:pt>
                <c:pt idx="24">
                  <c:v>12400</c:v>
                </c:pt>
                <c:pt idx="25">
                  <c:v>35750</c:v>
                </c:pt>
                <c:pt idx="26">
                  <c:v>0</c:v>
                </c:pt>
                <c:pt idx="27">
                  <c:v>593800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D-4E89-AC07-482E78CC72C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Analysis!$F$1:$F$28</c:f>
              <c:numCache>
                <c:formatCode>0.0%</c:formatCode>
                <c:ptCount val="28"/>
                <c:pt idx="0" formatCode="General">
                  <c:v>0</c:v>
                </c:pt>
                <c:pt idx="1">
                  <c:v>4080</c:v>
                </c:pt>
                <c:pt idx="2">
                  <c:v>5720</c:v>
                </c:pt>
                <c:pt idx="3">
                  <c:v>1020</c:v>
                </c:pt>
                <c:pt idx="4">
                  <c:v>2860</c:v>
                </c:pt>
                <c:pt idx="5">
                  <c:v>12160</c:v>
                </c:pt>
                <c:pt idx="6">
                  <c:v>8580</c:v>
                </c:pt>
                <c:pt idx="7">
                  <c:v>1860</c:v>
                </c:pt>
                <c:pt idx="8">
                  <c:v>4290</c:v>
                </c:pt>
                <c:pt idx="9">
                  <c:v>3100</c:v>
                </c:pt>
                <c:pt idx="10">
                  <c:v>6120</c:v>
                </c:pt>
                <c:pt idx="11">
                  <c:v>13040</c:v>
                </c:pt>
                <c:pt idx="12">
                  <c:v>1240</c:v>
                </c:pt>
                <c:pt idx="13">
                  <c:v>4890</c:v>
                </c:pt>
                <c:pt idx="14">
                  <c:v>1860</c:v>
                </c:pt>
                <c:pt idx="15">
                  <c:v>5100</c:v>
                </c:pt>
                <c:pt idx="16">
                  <c:v>1020</c:v>
                </c:pt>
                <c:pt idx="17">
                  <c:v>4080</c:v>
                </c:pt>
                <c:pt idx="18">
                  <c:v>6520</c:v>
                </c:pt>
                <c:pt idx="19">
                  <c:v>2040</c:v>
                </c:pt>
                <c:pt idx="20">
                  <c:v>4290</c:v>
                </c:pt>
                <c:pt idx="21">
                  <c:v>3100</c:v>
                </c:pt>
                <c:pt idx="22">
                  <c:v>6080</c:v>
                </c:pt>
                <c:pt idx="23">
                  <c:v>6080</c:v>
                </c:pt>
                <c:pt idx="24">
                  <c:v>2480</c:v>
                </c:pt>
                <c:pt idx="25">
                  <c:v>7150</c:v>
                </c:pt>
                <c:pt idx="26">
                  <c:v>0</c:v>
                </c:pt>
                <c:pt idx="27">
                  <c:v>118760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D-4E89-AC07-482E78CC72C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Analysis!$G$1:$G$28</c:f>
              <c:numCache>
                <c:formatCode>General</c:formatCode>
                <c:ptCount val="28"/>
                <c:pt idx="0">
                  <c:v>0</c:v>
                </c:pt>
                <c:pt idx="1">
                  <c:v>7140</c:v>
                </c:pt>
                <c:pt idx="2">
                  <c:v>10010</c:v>
                </c:pt>
                <c:pt idx="3">
                  <c:v>1785</c:v>
                </c:pt>
                <c:pt idx="4">
                  <c:v>5005</c:v>
                </c:pt>
                <c:pt idx="5">
                  <c:v>21280</c:v>
                </c:pt>
                <c:pt idx="6">
                  <c:v>15014.999999999998</c:v>
                </c:pt>
                <c:pt idx="7">
                  <c:v>3255</c:v>
                </c:pt>
                <c:pt idx="8">
                  <c:v>7507.4999999999991</c:v>
                </c:pt>
                <c:pt idx="9">
                  <c:v>5425</c:v>
                </c:pt>
                <c:pt idx="10">
                  <c:v>10710</c:v>
                </c:pt>
                <c:pt idx="11">
                  <c:v>22820</c:v>
                </c:pt>
                <c:pt idx="12">
                  <c:v>2170</c:v>
                </c:pt>
                <c:pt idx="13">
                  <c:v>8557.5</c:v>
                </c:pt>
                <c:pt idx="14">
                  <c:v>3255</c:v>
                </c:pt>
                <c:pt idx="15">
                  <c:v>8925</c:v>
                </c:pt>
                <c:pt idx="16">
                  <c:v>1785</c:v>
                </c:pt>
                <c:pt idx="17">
                  <c:v>7140</c:v>
                </c:pt>
                <c:pt idx="18">
                  <c:v>11410</c:v>
                </c:pt>
                <c:pt idx="19">
                  <c:v>3570</c:v>
                </c:pt>
                <c:pt idx="20">
                  <c:v>7507.4999999999991</c:v>
                </c:pt>
                <c:pt idx="21">
                  <c:v>5425</c:v>
                </c:pt>
                <c:pt idx="22">
                  <c:v>10640</c:v>
                </c:pt>
                <c:pt idx="23">
                  <c:v>10640</c:v>
                </c:pt>
                <c:pt idx="24">
                  <c:v>4340</c:v>
                </c:pt>
                <c:pt idx="25">
                  <c:v>12512.5</c:v>
                </c:pt>
                <c:pt idx="26">
                  <c:v>0</c:v>
                </c:pt>
                <c:pt idx="27">
                  <c:v>207830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8D-4E89-AC07-482E78CC72C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Analysis!$H$1:$H$28</c:f>
              <c:numCache>
                <c:formatCode>General</c:formatCode>
                <c:ptCount val="28"/>
                <c:pt idx="0">
                  <c:v>0</c:v>
                </c:pt>
                <c:pt idx="1">
                  <c:v>5100</c:v>
                </c:pt>
                <c:pt idx="2">
                  <c:v>7150</c:v>
                </c:pt>
                <c:pt idx="3">
                  <c:v>1275</c:v>
                </c:pt>
                <c:pt idx="4">
                  <c:v>3575</c:v>
                </c:pt>
                <c:pt idx="5">
                  <c:v>15200</c:v>
                </c:pt>
                <c:pt idx="6">
                  <c:v>10725</c:v>
                </c:pt>
                <c:pt idx="7">
                  <c:v>2325</c:v>
                </c:pt>
                <c:pt idx="8">
                  <c:v>5362.5</c:v>
                </c:pt>
                <c:pt idx="9">
                  <c:v>3875</c:v>
                </c:pt>
                <c:pt idx="10">
                  <c:v>7650</c:v>
                </c:pt>
                <c:pt idx="11">
                  <c:v>16300</c:v>
                </c:pt>
                <c:pt idx="12">
                  <c:v>1550</c:v>
                </c:pt>
                <c:pt idx="13">
                  <c:v>6112.5</c:v>
                </c:pt>
                <c:pt idx="14">
                  <c:v>2325</c:v>
                </c:pt>
                <c:pt idx="15">
                  <c:v>6375</c:v>
                </c:pt>
                <c:pt idx="16">
                  <c:v>1275</c:v>
                </c:pt>
                <c:pt idx="17">
                  <c:v>5100</c:v>
                </c:pt>
                <c:pt idx="18">
                  <c:v>8150</c:v>
                </c:pt>
                <c:pt idx="19">
                  <c:v>2550</c:v>
                </c:pt>
                <c:pt idx="20">
                  <c:v>5362.5</c:v>
                </c:pt>
                <c:pt idx="21">
                  <c:v>3875</c:v>
                </c:pt>
                <c:pt idx="22">
                  <c:v>7600</c:v>
                </c:pt>
                <c:pt idx="23">
                  <c:v>7600</c:v>
                </c:pt>
                <c:pt idx="24">
                  <c:v>3100</c:v>
                </c:pt>
                <c:pt idx="25">
                  <c:v>8937.5</c:v>
                </c:pt>
                <c:pt idx="26">
                  <c:v>0</c:v>
                </c:pt>
                <c:pt idx="27">
                  <c:v>148450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8D-4E89-AC07-482E78CC72C8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Analysis!$I$1:$I$28</c:f>
              <c:numCache>
                <c:formatCode>General</c:formatCode>
                <c:ptCount val="28"/>
                <c:pt idx="0">
                  <c:v>0</c:v>
                </c:pt>
                <c:pt idx="1">
                  <c:v>2040</c:v>
                </c:pt>
                <c:pt idx="2">
                  <c:v>2860</c:v>
                </c:pt>
                <c:pt idx="3">
                  <c:v>510</c:v>
                </c:pt>
                <c:pt idx="4">
                  <c:v>1430</c:v>
                </c:pt>
                <c:pt idx="5">
                  <c:v>6080</c:v>
                </c:pt>
                <c:pt idx="6">
                  <c:v>4290</c:v>
                </c:pt>
                <c:pt idx="7">
                  <c:v>930</c:v>
                </c:pt>
                <c:pt idx="8">
                  <c:v>2145</c:v>
                </c:pt>
                <c:pt idx="9">
                  <c:v>1550</c:v>
                </c:pt>
                <c:pt idx="10">
                  <c:v>3060</c:v>
                </c:pt>
                <c:pt idx="11">
                  <c:v>6520</c:v>
                </c:pt>
                <c:pt idx="12">
                  <c:v>620</c:v>
                </c:pt>
                <c:pt idx="13">
                  <c:v>2445</c:v>
                </c:pt>
                <c:pt idx="14">
                  <c:v>930</c:v>
                </c:pt>
                <c:pt idx="15">
                  <c:v>2550</c:v>
                </c:pt>
                <c:pt idx="16">
                  <c:v>510</c:v>
                </c:pt>
                <c:pt idx="17">
                  <c:v>2040</c:v>
                </c:pt>
                <c:pt idx="18">
                  <c:v>3260</c:v>
                </c:pt>
                <c:pt idx="19">
                  <c:v>1020</c:v>
                </c:pt>
                <c:pt idx="20">
                  <c:v>2145</c:v>
                </c:pt>
                <c:pt idx="21">
                  <c:v>1550</c:v>
                </c:pt>
                <c:pt idx="22">
                  <c:v>3040</c:v>
                </c:pt>
                <c:pt idx="23">
                  <c:v>3040</c:v>
                </c:pt>
                <c:pt idx="24">
                  <c:v>1240</c:v>
                </c:pt>
                <c:pt idx="25">
                  <c:v>3575</c:v>
                </c:pt>
                <c:pt idx="26">
                  <c:v>0</c:v>
                </c:pt>
                <c:pt idx="27">
                  <c:v>59380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8D-4E89-AC07-482E78CC72C8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Analysis!$J$1:$J$28</c:f>
              <c:numCache>
                <c:formatCode>0.0%</c:formatCode>
                <c:ptCount val="28"/>
                <c:pt idx="0" formatCode="General">
                  <c:v>0</c:v>
                </c:pt>
                <c:pt idx="1">
                  <c:v>59380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8D-4E89-AC07-482E78CC72C8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Analysis!$K$1:$K$28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6-C08D-4E89-AC07-482E78CC72C8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Analysis!$L$1:$L$28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7-C08D-4E89-AC07-482E78CC72C8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Analysis!$M$1:$M$28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8-C08D-4E89-AC07-482E78CC7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9767343"/>
        <c:axId val="1099767823"/>
      </c:barChart>
      <c:catAx>
        <c:axId val="109976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67823"/>
        <c:crosses val="autoZero"/>
        <c:auto val="1"/>
        <c:lblAlgn val="ctr"/>
        <c:lblOffset val="100"/>
        <c:noMultiLvlLbl val="0"/>
      </c:catAx>
      <c:valAx>
        <c:axId val="10997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26</xdr:row>
      <xdr:rowOff>49530</xdr:rowOff>
    </xdr:from>
    <xdr:to>
      <xdr:col>5</xdr:col>
      <xdr:colOff>807720</xdr:colOff>
      <xdr:row>41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CBDBA5-8E1E-73F9-DB32-A077BB989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853440</xdr:colOff>
      <xdr:row>26</xdr:row>
      <xdr:rowOff>57150</xdr:rowOff>
    </xdr:from>
    <xdr:to>
      <xdr:col>8</xdr:col>
      <xdr:colOff>998220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913E9-1771-0392-6CAB-0792E16F0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45</xdr:row>
      <xdr:rowOff>26670</xdr:rowOff>
    </xdr:from>
    <xdr:to>
      <xdr:col>7</xdr:col>
      <xdr:colOff>342900</xdr:colOff>
      <xdr:row>60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FFAA04-4FC2-6C9A-31BE-65CDE26F1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33</xdr:row>
      <xdr:rowOff>11430</xdr:rowOff>
    </xdr:from>
    <xdr:to>
      <xdr:col>4</xdr:col>
      <xdr:colOff>609600</xdr:colOff>
      <xdr:row>48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E15D8-C1DF-5E29-598F-D91D028DA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868680</xdr:colOff>
      <xdr:row>32</xdr:row>
      <xdr:rowOff>156210</xdr:rowOff>
    </xdr:from>
    <xdr:to>
      <xdr:col>7</xdr:col>
      <xdr:colOff>266700</xdr:colOff>
      <xdr:row>47</xdr:row>
      <xdr:rowOff>156210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CD9B20-60DE-6ED2-AE1C-73562C134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784860</xdr:colOff>
      <xdr:row>33</xdr:row>
      <xdr:rowOff>3810</xdr:rowOff>
    </xdr:from>
    <xdr:to>
      <xdr:col>12</xdr:col>
      <xdr:colOff>114300</xdr:colOff>
      <xdr:row>48</xdr:row>
      <xdr:rowOff>3810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D06F7D-2BA4-3408-845B-020B9EA6D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434340</xdr:colOff>
      <xdr:row>32</xdr:row>
      <xdr:rowOff>133350</xdr:rowOff>
    </xdr:from>
    <xdr:to>
      <xdr:col>20</xdr:col>
      <xdr:colOff>129540</xdr:colOff>
      <xdr:row>47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0AFE17-B383-04BF-3598-7C0F9E161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472440</xdr:colOff>
      <xdr:row>51</xdr:row>
      <xdr:rowOff>95250</xdr:rowOff>
    </xdr:from>
    <xdr:to>
      <xdr:col>20</xdr:col>
      <xdr:colOff>167640</xdr:colOff>
      <xdr:row>66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8F44B0-8CE0-1C76-D746-DF92455CF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91440</xdr:colOff>
      <xdr:row>10</xdr:row>
      <xdr:rowOff>110490</xdr:rowOff>
    </xdr:from>
    <xdr:to>
      <xdr:col>21</xdr:col>
      <xdr:colOff>396240</xdr:colOff>
      <xdr:row>25</xdr:row>
      <xdr:rowOff>110490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0BD3AB4-5E30-A08F-16D6-5416E8468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791-BD7E-4032-A663-BEABF1FBBAC3}">
  <dimension ref="A1:L26"/>
  <sheetViews>
    <sheetView workbookViewId="0">
      <selection activeCell="L8" sqref="L8"/>
    </sheetView>
  </sheetViews>
  <sheetFormatPr defaultRowHeight="14.4" x14ac:dyDescent="0.3"/>
  <cols>
    <col min="1" max="1" width="16.77734375" style="1" bestFit="1" customWidth="1"/>
    <col min="2" max="2" width="15.44140625" style="1" customWidth="1"/>
    <col min="3" max="3" width="17.77734375" style="1" customWidth="1"/>
    <col min="4" max="4" width="14.21875" style="1" customWidth="1"/>
    <col min="5" max="5" width="15.88671875" style="1" customWidth="1"/>
    <col min="6" max="6" width="18" style="1" customWidth="1"/>
    <col min="7" max="7" width="28" style="1" customWidth="1"/>
    <col min="8" max="8" width="18.5546875" style="1" customWidth="1"/>
    <col min="9" max="9" width="17.77734375" style="1" customWidth="1"/>
    <col min="10" max="10" width="3.5546875" style="1" customWidth="1"/>
    <col min="11" max="12" width="8.88671875" style="1"/>
  </cols>
  <sheetData>
    <row r="1" spans="1:12" ht="18" x14ac:dyDescent="0.3">
      <c r="A1" s="2" t="s">
        <v>0</v>
      </c>
      <c r="B1" s="2" t="s">
        <v>24</v>
      </c>
      <c r="C1" s="2" t="s">
        <v>38</v>
      </c>
      <c r="D1" s="2" t="s">
        <v>41</v>
      </c>
      <c r="E1" s="2" t="s">
        <v>46</v>
      </c>
      <c r="F1" s="2" t="s">
        <v>47</v>
      </c>
      <c r="G1" s="2" t="s">
        <v>49</v>
      </c>
      <c r="H1" s="2" t="s">
        <v>50</v>
      </c>
      <c r="I1" s="2" t="s">
        <v>51</v>
      </c>
    </row>
    <row r="2" spans="1:12" x14ac:dyDescent="0.3">
      <c r="A2" s="1" t="s">
        <v>1</v>
      </c>
      <c r="B2" s="1" t="s">
        <v>25</v>
      </c>
      <c r="C2" s="1" t="s">
        <v>39</v>
      </c>
      <c r="D2" s="1" t="s">
        <v>42</v>
      </c>
      <c r="E2" s="1">
        <v>2</v>
      </c>
      <c r="F2" s="1">
        <v>6</v>
      </c>
      <c r="G2" s="1">
        <f>IF(C2="Luxury", IF(F2&gt;=6, 10000, 15000),
IF(C2="Standard", IF(F2&gt;=6, 7000, 8000),
IF(C2="Economy", IF(F2&gt;=6, 3000, 5000), 0)
))*E2</f>
        <v>20000</v>
      </c>
      <c r="H2" s="1">
        <f>IF(C2="Luxury",200*E2,IF(C2="Standard",150*E2,IF(C2="Economy",100*E2,0)))</f>
        <v>400</v>
      </c>
      <c r="I2" s="1">
        <f>G2+H2</f>
        <v>20400</v>
      </c>
    </row>
    <row r="3" spans="1:12" x14ac:dyDescent="0.3">
      <c r="A3" s="1" t="s">
        <v>2</v>
      </c>
      <c r="B3" s="1" t="s">
        <v>26</v>
      </c>
      <c r="C3" s="1" t="s">
        <v>40</v>
      </c>
      <c r="D3" s="1" t="s">
        <v>43</v>
      </c>
      <c r="E3" s="1">
        <v>4</v>
      </c>
      <c r="F3" s="1">
        <v>7</v>
      </c>
      <c r="G3" s="1">
        <f t="shared" ref="G3:G12" si="0">IF(C3="Luxury", IF(F3&gt;=6, 10000, 15000),
IF(C3="Standard", IF(F3&gt;=6, 7000, 8000),
IF(C3="Economy", IF(F3&gt;=6, 3000, 5000), 0)
))*E3</f>
        <v>28000</v>
      </c>
      <c r="H3" s="1">
        <f t="shared" ref="H3:H26" si="1">IF(C3="Luxury",200*E3,IF(C3="Standard",150*E3,IF(C3="Economy",100*E3,0)))</f>
        <v>600</v>
      </c>
      <c r="I3" s="1">
        <f t="shared" ref="I3:I26" si="2">G3+H3</f>
        <v>28600</v>
      </c>
    </row>
    <row r="4" spans="1:12" x14ac:dyDescent="0.3">
      <c r="A4" s="1" t="s">
        <v>3</v>
      </c>
      <c r="B4" s="1" t="s">
        <v>35</v>
      </c>
      <c r="C4" s="1" t="s">
        <v>48</v>
      </c>
      <c r="D4" s="1" t="s">
        <v>44</v>
      </c>
      <c r="E4" s="1">
        <v>1</v>
      </c>
      <c r="F4" s="1">
        <v>5</v>
      </c>
      <c r="G4" s="1">
        <f t="shared" si="0"/>
        <v>5000</v>
      </c>
      <c r="H4" s="1">
        <f t="shared" si="1"/>
        <v>100</v>
      </c>
      <c r="I4" s="1">
        <f t="shared" si="2"/>
        <v>5100</v>
      </c>
    </row>
    <row r="5" spans="1:12" x14ac:dyDescent="0.3">
      <c r="A5" s="1" t="s">
        <v>4</v>
      </c>
      <c r="B5" s="1" t="s">
        <v>25</v>
      </c>
      <c r="C5" s="1" t="s">
        <v>40</v>
      </c>
      <c r="D5" s="1" t="s">
        <v>43</v>
      </c>
      <c r="E5" s="1">
        <v>2</v>
      </c>
      <c r="F5" s="1">
        <v>6</v>
      </c>
      <c r="G5" s="1">
        <f t="shared" si="0"/>
        <v>14000</v>
      </c>
      <c r="H5" s="1">
        <f t="shared" si="1"/>
        <v>300</v>
      </c>
      <c r="I5" s="1">
        <f t="shared" si="2"/>
        <v>14300</v>
      </c>
    </row>
    <row r="6" spans="1:12" x14ac:dyDescent="0.3">
      <c r="A6" s="1" t="s">
        <v>5</v>
      </c>
      <c r="B6" s="1" t="s">
        <v>30</v>
      </c>
      <c r="C6" s="1" t="s">
        <v>39</v>
      </c>
      <c r="D6" s="1" t="s">
        <v>42</v>
      </c>
      <c r="E6" s="1">
        <v>4</v>
      </c>
      <c r="F6" s="1">
        <v>5</v>
      </c>
      <c r="G6" s="1">
        <f t="shared" si="0"/>
        <v>60000</v>
      </c>
      <c r="H6" s="1">
        <f t="shared" si="1"/>
        <v>800</v>
      </c>
      <c r="I6" s="1">
        <f t="shared" si="2"/>
        <v>60800</v>
      </c>
    </row>
    <row r="7" spans="1:12" x14ac:dyDescent="0.3">
      <c r="A7" s="1" t="s">
        <v>6</v>
      </c>
      <c r="B7" s="1" t="s">
        <v>27</v>
      </c>
      <c r="C7" s="1" t="s">
        <v>40</v>
      </c>
      <c r="D7" s="1" t="s">
        <v>43</v>
      </c>
      <c r="E7" s="1">
        <v>6</v>
      </c>
      <c r="F7" s="1">
        <v>10</v>
      </c>
      <c r="G7" s="1">
        <f t="shared" si="0"/>
        <v>42000</v>
      </c>
      <c r="H7" s="1">
        <f t="shared" si="1"/>
        <v>900</v>
      </c>
      <c r="I7" s="1">
        <f t="shared" si="2"/>
        <v>42900</v>
      </c>
    </row>
    <row r="8" spans="1:12" x14ac:dyDescent="0.3">
      <c r="A8" s="1" t="s">
        <v>7</v>
      </c>
      <c r="B8" s="1" t="s">
        <v>26</v>
      </c>
      <c r="C8" s="1" t="s">
        <v>48</v>
      </c>
      <c r="D8" s="1" t="s">
        <v>44</v>
      </c>
      <c r="E8" s="1">
        <v>3</v>
      </c>
      <c r="F8" s="1">
        <v>6</v>
      </c>
      <c r="G8" s="1">
        <f t="shared" si="0"/>
        <v>9000</v>
      </c>
      <c r="H8" s="1">
        <f t="shared" si="1"/>
        <v>300</v>
      </c>
      <c r="I8" s="1">
        <f t="shared" si="2"/>
        <v>9300</v>
      </c>
      <c r="K8" s="3" t="s">
        <v>64</v>
      </c>
      <c r="L8" s="3">
        <f>SUM(I2:I26)</f>
        <v>593800</v>
      </c>
    </row>
    <row r="9" spans="1:12" x14ac:dyDescent="0.3">
      <c r="A9" s="1" t="s">
        <v>8</v>
      </c>
      <c r="B9" s="1" t="s">
        <v>28</v>
      </c>
      <c r="C9" s="1" t="s">
        <v>40</v>
      </c>
      <c r="D9" s="1" t="s">
        <v>43</v>
      </c>
      <c r="E9" s="1">
        <v>3</v>
      </c>
      <c r="F9" s="1">
        <v>7</v>
      </c>
      <c r="G9" s="1">
        <f t="shared" si="0"/>
        <v>21000</v>
      </c>
      <c r="H9" s="1">
        <f t="shared" si="1"/>
        <v>450</v>
      </c>
      <c r="I9" s="1">
        <f t="shared" si="2"/>
        <v>21450</v>
      </c>
    </row>
    <row r="10" spans="1:12" x14ac:dyDescent="0.3">
      <c r="A10" s="1" t="s">
        <v>9</v>
      </c>
      <c r="B10" s="1" t="s">
        <v>35</v>
      </c>
      <c r="C10" s="1" t="s">
        <v>48</v>
      </c>
      <c r="D10" s="1" t="s">
        <v>44</v>
      </c>
      <c r="E10" s="1">
        <v>5</v>
      </c>
      <c r="F10" s="1">
        <v>6</v>
      </c>
      <c r="G10" s="1">
        <f t="shared" si="0"/>
        <v>15000</v>
      </c>
      <c r="H10" s="1">
        <f t="shared" si="1"/>
        <v>500</v>
      </c>
      <c r="I10" s="1">
        <f t="shared" si="2"/>
        <v>15500</v>
      </c>
    </row>
    <row r="11" spans="1:12" x14ac:dyDescent="0.3">
      <c r="A11" s="1" t="s">
        <v>10</v>
      </c>
      <c r="B11" s="1" t="s">
        <v>31</v>
      </c>
      <c r="C11" s="1" t="s">
        <v>39</v>
      </c>
      <c r="D11" s="1" t="s">
        <v>42</v>
      </c>
      <c r="E11" s="1">
        <v>3</v>
      </c>
      <c r="F11" s="1">
        <v>10</v>
      </c>
      <c r="G11" s="1">
        <f t="shared" si="0"/>
        <v>30000</v>
      </c>
      <c r="H11" s="1">
        <f t="shared" si="1"/>
        <v>600</v>
      </c>
      <c r="I11" s="1">
        <f t="shared" si="2"/>
        <v>30600</v>
      </c>
    </row>
    <row r="12" spans="1:12" x14ac:dyDescent="0.3">
      <c r="A12" s="1" t="s">
        <v>11</v>
      </c>
      <c r="B12" s="1" t="s">
        <v>29</v>
      </c>
      <c r="C12" s="1" t="s">
        <v>40</v>
      </c>
      <c r="D12" s="1" t="s">
        <v>43</v>
      </c>
      <c r="E12" s="1">
        <v>8</v>
      </c>
      <c r="F12" s="1">
        <v>3</v>
      </c>
      <c r="G12" s="1">
        <f t="shared" si="0"/>
        <v>64000</v>
      </c>
      <c r="H12" s="1">
        <f t="shared" si="1"/>
        <v>1200</v>
      </c>
      <c r="I12" s="1">
        <f t="shared" si="2"/>
        <v>65200</v>
      </c>
    </row>
    <row r="13" spans="1:12" x14ac:dyDescent="0.3">
      <c r="A13" s="1" t="s">
        <v>12</v>
      </c>
      <c r="B13" s="1" t="s">
        <v>36</v>
      </c>
      <c r="C13" s="1" t="s">
        <v>48</v>
      </c>
      <c r="D13" s="1" t="s">
        <v>44</v>
      </c>
      <c r="E13" s="1">
        <v>2</v>
      </c>
      <c r="F13" s="1">
        <v>7</v>
      </c>
      <c r="G13" s="1">
        <f t="shared" ref="G13:G26" si="3">IF(C13="Luxury", IF(F13&gt;=6, 10000, 15000),
IF(C13="Standard", IF(F13&gt;=6, 7000, 8000),
IF(C13="Economy", IF(F13&gt;=6, 3000, 5000), 0)
))*E13</f>
        <v>6000</v>
      </c>
      <c r="H13" s="1">
        <f t="shared" si="1"/>
        <v>200</v>
      </c>
      <c r="I13" s="1">
        <f t="shared" si="2"/>
        <v>6200</v>
      </c>
    </row>
    <row r="14" spans="1:12" x14ac:dyDescent="0.3">
      <c r="A14" s="1" t="s">
        <v>13</v>
      </c>
      <c r="B14" s="1" t="s">
        <v>34</v>
      </c>
      <c r="C14" s="1" t="s">
        <v>40</v>
      </c>
      <c r="D14" s="1" t="s">
        <v>43</v>
      </c>
      <c r="E14" s="1">
        <v>3</v>
      </c>
      <c r="F14" s="1">
        <v>5</v>
      </c>
      <c r="G14" s="1">
        <f t="shared" si="3"/>
        <v>24000</v>
      </c>
      <c r="H14" s="1">
        <f t="shared" si="1"/>
        <v>450</v>
      </c>
      <c r="I14" s="1">
        <f t="shared" si="2"/>
        <v>24450</v>
      </c>
    </row>
    <row r="15" spans="1:12" x14ac:dyDescent="0.3">
      <c r="A15" s="1" t="s">
        <v>14</v>
      </c>
      <c r="B15" s="1" t="s">
        <v>32</v>
      </c>
      <c r="C15" s="1" t="s">
        <v>48</v>
      </c>
      <c r="D15" s="1" t="s">
        <v>44</v>
      </c>
      <c r="E15" s="1">
        <v>3</v>
      </c>
      <c r="F15" s="1">
        <v>6</v>
      </c>
      <c r="G15" s="1">
        <f t="shared" si="3"/>
        <v>9000</v>
      </c>
      <c r="H15" s="1">
        <f t="shared" si="1"/>
        <v>300</v>
      </c>
      <c r="I15" s="1">
        <f t="shared" si="2"/>
        <v>9300</v>
      </c>
    </row>
    <row r="16" spans="1:12" x14ac:dyDescent="0.3">
      <c r="A16" s="1" t="s">
        <v>15</v>
      </c>
      <c r="B16" s="1" t="s">
        <v>30</v>
      </c>
      <c r="C16" s="1" t="s">
        <v>48</v>
      </c>
      <c r="D16" s="1" t="s">
        <v>44</v>
      </c>
      <c r="E16" s="1">
        <v>5</v>
      </c>
      <c r="F16" s="1">
        <v>5</v>
      </c>
      <c r="G16" s="1">
        <f t="shared" si="3"/>
        <v>25000</v>
      </c>
      <c r="H16" s="1">
        <f t="shared" si="1"/>
        <v>500</v>
      </c>
      <c r="I16" s="1">
        <f t="shared" si="2"/>
        <v>25500</v>
      </c>
    </row>
    <row r="17" spans="1:9" x14ac:dyDescent="0.3">
      <c r="A17" s="1" t="s">
        <v>16</v>
      </c>
      <c r="B17" s="1" t="s">
        <v>29</v>
      </c>
      <c r="C17" s="1" t="s">
        <v>48</v>
      </c>
      <c r="D17" s="1" t="s">
        <v>44</v>
      </c>
      <c r="E17" s="1">
        <v>1</v>
      </c>
      <c r="F17" s="1">
        <v>5</v>
      </c>
      <c r="G17" s="1">
        <f t="shared" si="3"/>
        <v>5000</v>
      </c>
      <c r="H17" s="1">
        <f t="shared" si="1"/>
        <v>100</v>
      </c>
      <c r="I17" s="1">
        <f t="shared" si="2"/>
        <v>5100</v>
      </c>
    </row>
    <row r="18" spans="1:9" x14ac:dyDescent="0.3">
      <c r="A18" s="1" t="s">
        <v>17</v>
      </c>
      <c r="B18" s="1" t="s">
        <v>27</v>
      </c>
      <c r="C18" s="1" t="s">
        <v>39</v>
      </c>
      <c r="D18" s="1" t="s">
        <v>42</v>
      </c>
      <c r="E18" s="1">
        <v>2</v>
      </c>
      <c r="F18" s="1">
        <v>7</v>
      </c>
      <c r="G18" s="1">
        <f t="shared" si="3"/>
        <v>20000</v>
      </c>
      <c r="H18" s="1">
        <f t="shared" si="1"/>
        <v>400</v>
      </c>
      <c r="I18" s="1">
        <f t="shared" si="2"/>
        <v>20400</v>
      </c>
    </row>
    <row r="19" spans="1:9" x14ac:dyDescent="0.3">
      <c r="A19" s="1" t="s">
        <v>18</v>
      </c>
      <c r="B19" s="1" t="s">
        <v>34</v>
      </c>
      <c r="C19" s="1" t="s">
        <v>40</v>
      </c>
      <c r="D19" s="1" t="s">
        <v>43</v>
      </c>
      <c r="E19" s="1">
        <v>4</v>
      </c>
      <c r="F19" s="1">
        <v>2</v>
      </c>
      <c r="G19" s="1">
        <f t="shared" si="3"/>
        <v>32000</v>
      </c>
      <c r="H19" s="1">
        <f t="shared" si="1"/>
        <v>600</v>
      </c>
      <c r="I19" s="1">
        <f t="shared" si="2"/>
        <v>32600</v>
      </c>
    </row>
    <row r="20" spans="1:9" x14ac:dyDescent="0.3">
      <c r="A20" s="1" t="s">
        <v>19</v>
      </c>
      <c r="B20" s="1" t="s">
        <v>32</v>
      </c>
      <c r="C20" s="1" t="s">
        <v>48</v>
      </c>
      <c r="D20" s="1" t="s">
        <v>44</v>
      </c>
      <c r="E20" s="1">
        <v>2</v>
      </c>
      <c r="F20" s="1">
        <v>3</v>
      </c>
      <c r="G20" s="1">
        <f t="shared" si="3"/>
        <v>10000</v>
      </c>
      <c r="H20" s="1">
        <f t="shared" si="1"/>
        <v>200</v>
      </c>
      <c r="I20" s="1">
        <f t="shared" si="2"/>
        <v>10200</v>
      </c>
    </row>
    <row r="21" spans="1:9" x14ac:dyDescent="0.3">
      <c r="A21" s="1" t="s">
        <v>20</v>
      </c>
      <c r="B21" s="1" t="s">
        <v>26</v>
      </c>
      <c r="C21" s="1" t="s">
        <v>40</v>
      </c>
      <c r="D21" s="1" t="s">
        <v>43</v>
      </c>
      <c r="E21" s="1">
        <v>3</v>
      </c>
      <c r="F21" s="1">
        <v>6</v>
      </c>
      <c r="G21" s="1">
        <f t="shared" si="3"/>
        <v>21000</v>
      </c>
      <c r="H21" s="1">
        <f t="shared" si="1"/>
        <v>450</v>
      </c>
      <c r="I21" s="1">
        <f t="shared" si="2"/>
        <v>21450</v>
      </c>
    </row>
    <row r="22" spans="1:9" x14ac:dyDescent="0.3">
      <c r="A22" s="1" t="s">
        <v>21</v>
      </c>
      <c r="B22" s="1" t="s">
        <v>31</v>
      </c>
      <c r="C22" s="1" t="s">
        <v>48</v>
      </c>
      <c r="D22" s="1" t="s">
        <v>44</v>
      </c>
      <c r="E22" s="1">
        <v>5</v>
      </c>
      <c r="F22" s="1">
        <v>6</v>
      </c>
      <c r="G22" s="1">
        <f t="shared" si="3"/>
        <v>15000</v>
      </c>
      <c r="H22" s="1">
        <f t="shared" si="1"/>
        <v>500</v>
      </c>
      <c r="I22" s="1">
        <f t="shared" si="2"/>
        <v>15500</v>
      </c>
    </row>
    <row r="23" spans="1:9" x14ac:dyDescent="0.3">
      <c r="A23" s="1" t="s">
        <v>37</v>
      </c>
      <c r="B23" s="1" t="s">
        <v>33</v>
      </c>
      <c r="C23" s="1" t="s">
        <v>39</v>
      </c>
      <c r="D23" s="1" t="s">
        <v>42</v>
      </c>
      <c r="E23" s="1">
        <v>2</v>
      </c>
      <c r="F23" s="1">
        <v>2</v>
      </c>
      <c r="G23" s="1">
        <f t="shared" si="3"/>
        <v>30000</v>
      </c>
      <c r="H23" s="1">
        <f t="shared" si="1"/>
        <v>400</v>
      </c>
      <c r="I23" s="1">
        <f t="shared" si="2"/>
        <v>30400</v>
      </c>
    </row>
    <row r="24" spans="1:9" x14ac:dyDescent="0.3">
      <c r="A24" s="1" t="s">
        <v>45</v>
      </c>
      <c r="B24" s="1" t="s">
        <v>33</v>
      </c>
      <c r="C24" s="1" t="s">
        <v>39</v>
      </c>
      <c r="D24" s="1" t="s">
        <v>42</v>
      </c>
      <c r="E24" s="1">
        <v>2</v>
      </c>
      <c r="F24" s="1">
        <v>2</v>
      </c>
      <c r="G24" s="1">
        <f t="shared" si="3"/>
        <v>30000</v>
      </c>
      <c r="H24" s="1">
        <f t="shared" si="1"/>
        <v>400</v>
      </c>
      <c r="I24" s="1">
        <f t="shared" si="2"/>
        <v>30400</v>
      </c>
    </row>
    <row r="25" spans="1:9" x14ac:dyDescent="0.3">
      <c r="A25" s="1" t="s">
        <v>22</v>
      </c>
      <c r="B25" s="1" t="s">
        <v>28</v>
      </c>
      <c r="C25" s="1" t="s">
        <v>48</v>
      </c>
      <c r="D25" s="1" t="s">
        <v>43</v>
      </c>
      <c r="E25" s="1">
        <v>4</v>
      </c>
      <c r="F25" s="1">
        <v>6</v>
      </c>
      <c r="G25" s="1">
        <f t="shared" si="3"/>
        <v>12000</v>
      </c>
      <c r="H25" s="1">
        <f t="shared" si="1"/>
        <v>400</v>
      </c>
      <c r="I25" s="1">
        <f t="shared" si="2"/>
        <v>12400</v>
      </c>
    </row>
    <row r="26" spans="1:9" x14ac:dyDescent="0.3">
      <c r="A26" s="1" t="s">
        <v>23</v>
      </c>
      <c r="B26" s="1" t="s">
        <v>25</v>
      </c>
      <c r="C26" s="1" t="s">
        <v>40</v>
      </c>
      <c r="D26" s="1" t="s">
        <v>43</v>
      </c>
      <c r="E26" s="1">
        <v>5</v>
      </c>
      <c r="F26" s="1">
        <v>7</v>
      </c>
      <c r="G26" s="1">
        <f t="shared" si="3"/>
        <v>35000</v>
      </c>
      <c r="H26" s="1">
        <f t="shared" si="1"/>
        <v>750</v>
      </c>
      <c r="I26" s="1">
        <f t="shared" si="2"/>
        <v>35750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FE2D-E80C-4987-9FB8-0CEA40A12230}">
  <dimension ref="A1:D4"/>
  <sheetViews>
    <sheetView workbookViewId="0">
      <selection activeCell="B11" sqref="B11"/>
    </sheetView>
  </sheetViews>
  <sheetFormatPr defaultRowHeight="14.4" x14ac:dyDescent="0.3"/>
  <cols>
    <col min="1" max="1" width="19.33203125" style="1" customWidth="1"/>
    <col min="2" max="2" width="34.77734375" style="1" customWidth="1"/>
    <col min="3" max="3" width="30.33203125" style="1" bestFit="1" customWidth="1"/>
  </cols>
  <sheetData>
    <row r="1" spans="1:4" ht="18" x14ac:dyDescent="0.3">
      <c r="A1" s="2" t="s">
        <v>52</v>
      </c>
      <c r="B1" s="2" t="s">
        <v>53</v>
      </c>
      <c r="C1" s="2" t="s">
        <v>57</v>
      </c>
      <c r="D1" s="4"/>
    </row>
    <row r="2" spans="1:4" x14ac:dyDescent="0.3">
      <c r="A2" s="1" t="s">
        <v>39</v>
      </c>
      <c r="B2" s="3" t="s">
        <v>54</v>
      </c>
      <c r="C2" s="3" t="s">
        <v>58</v>
      </c>
    </row>
    <row r="3" spans="1:4" x14ac:dyDescent="0.3">
      <c r="A3" s="1" t="s">
        <v>40</v>
      </c>
      <c r="B3" s="3" t="s">
        <v>55</v>
      </c>
      <c r="C3" s="3" t="s">
        <v>59</v>
      </c>
    </row>
    <row r="4" spans="1:4" x14ac:dyDescent="0.3">
      <c r="A4" s="1" t="s">
        <v>48</v>
      </c>
      <c r="B4" s="3" t="s">
        <v>56</v>
      </c>
      <c r="C4" s="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CFAF-FEA1-4E80-BE05-9B8A39C3036A}">
  <dimension ref="A1:M28"/>
  <sheetViews>
    <sheetView tabSelected="1" workbookViewId="0">
      <selection activeCell="I2" sqref="I2"/>
    </sheetView>
  </sheetViews>
  <sheetFormatPr defaultRowHeight="14.4" x14ac:dyDescent="0.3"/>
  <cols>
    <col min="1" max="1" width="17.44140625" style="1" customWidth="1"/>
    <col min="2" max="2" width="17.6640625" style="1" customWidth="1"/>
    <col min="3" max="3" width="17.5546875" style="1" customWidth="1"/>
    <col min="4" max="4" width="8.88671875" style="1"/>
    <col min="5" max="5" width="30.44140625" style="1" customWidth="1"/>
    <col min="6" max="6" width="21.21875" style="1" customWidth="1"/>
    <col min="7" max="7" width="23.77734375" style="1" customWidth="1"/>
    <col min="8" max="8" width="30.6640625" style="1" customWidth="1"/>
    <col min="9" max="9" width="19.109375" customWidth="1"/>
  </cols>
  <sheetData>
    <row r="1" spans="1:13" ht="18" x14ac:dyDescent="0.35">
      <c r="A1" s="2" t="s">
        <v>61</v>
      </c>
      <c r="B1" s="3" t="s">
        <v>46</v>
      </c>
      <c r="C1" s="3" t="s">
        <v>65</v>
      </c>
      <c r="D1" s="3"/>
      <c r="E1" s="3" t="s">
        <v>66</v>
      </c>
      <c r="F1" s="3" t="s">
        <v>68</v>
      </c>
      <c r="G1" s="3" t="s">
        <v>69</v>
      </c>
      <c r="H1" s="3" t="s">
        <v>70</v>
      </c>
      <c r="I1" s="3" t="s">
        <v>71</v>
      </c>
      <c r="J1" s="9" t="s">
        <v>72</v>
      </c>
      <c r="K1" s="10"/>
      <c r="L1" s="10"/>
      <c r="M1" s="10"/>
    </row>
    <row r="2" spans="1:13" ht="15.6" x14ac:dyDescent="0.3">
      <c r="A2" s="1" t="s">
        <v>62</v>
      </c>
      <c r="B2" s="1">
        <v>5</v>
      </c>
      <c r="C2" s="8">
        <f>SUM(B2:B13)</f>
        <v>94</v>
      </c>
      <c r="E2" s="5">
        <v>20400</v>
      </c>
      <c r="F2" s="6">
        <f>(E2*20%)</f>
        <v>4080</v>
      </c>
      <c r="G2" s="1">
        <f>E2*35%</f>
        <v>7140</v>
      </c>
      <c r="H2" s="1">
        <f>E2*25%</f>
        <v>5100</v>
      </c>
      <c r="I2">
        <f>(E2*10%)</f>
        <v>2040</v>
      </c>
      <c r="J2" s="11">
        <f>E28-(F28+G28+H28+I28)</f>
        <v>59380</v>
      </c>
      <c r="K2" s="12"/>
      <c r="L2" s="12"/>
      <c r="M2" s="12"/>
    </row>
    <row r="3" spans="1:13" x14ac:dyDescent="0.3">
      <c r="A3" s="1" t="s">
        <v>30</v>
      </c>
      <c r="B3" s="1">
        <v>9</v>
      </c>
      <c r="C3" s="8"/>
      <c r="E3" s="1">
        <v>28600</v>
      </c>
      <c r="F3" s="6">
        <f t="shared" ref="F3:F26" si="0">E3*20%</f>
        <v>5720</v>
      </c>
      <c r="G3" s="1">
        <f t="shared" ref="G3:G26" si="1">E3*35%</f>
        <v>10010</v>
      </c>
      <c r="H3" s="1">
        <f t="shared" ref="H3:H26" si="2">E3*25%</f>
        <v>7150</v>
      </c>
      <c r="I3">
        <f t="shared" ref="I3:I26" si="3">(E3*10%)</f>
        <v>2860</v>
      </c>
      <c r="J3" s="12"/>
      <c r="K3" s="12"/>
      <c r="L3" s="12"/>
      <c r="M3" s="12"/>
    </row>
    <row r="4" spans="1:13" x14ac:dyDescent="0.3">
      <c r="A4" s="1" t="s">
        <v>31</v>
      </c>
      <c r="B4" s="1">
        <v>8</v>
      </c>
      <c r="C4" s="8"/>
      <c r="E4" s="1">
        <v>5100</v>
      </c>
      <c r="F4" s="6">
        <f t="shared" si="0"/>
        <v>1020</v>
      </c>
      <c r="G4" s="1">
        <f>E4*35%</f>
        <v>1785</v>
      </c>
      <c r="H4" s="1">
        <f t="shared" si="2"/>
        <v>1275</v>
      </c>
      <c r="I4">
        <f t="shared" si="3"/>
        <v>510</v>
      </c>
      <c r="J4" s="12"/>
      <c r="K4" s="12"/>
      <c r="L4" s="12"/>
      <c r="M4" s="12"/>
    </row>
    <row r="5" spans="1:13" x14ac:dyDescent="0.3">
      <c r="A5" s="1" t="s">
        <v>36</v>
      </c>
      <c r="B5" s="1">
        <v>2</v>
      </c>
      <c r="C5" s="8"/>
      <c r="E5" s="1">
        <v>14300</v>
      </c>
      <c r="F5" s="6">
        <f t="shared" si="0"/>
        <v>2860</v>
      </c>
      <c r="G5" s="1">
        <f t="shared" si="1"/>
        <v>5005</v>
      </c>
      <c r="H5" s="1">
        <f t="shared" si="2"/>
        <v>3575</v>
      </c>
      <c r="I5">
        <f t="shared" si="3"/>
        <v>1430</v>
      </c>
      <c r="J5" s="12"/>
      <c r="K5" s="12"/>
      <c r="L5" s="12"/>
      <c r="M5" s="12"/>
    </row>
    <row r="6" spans="1:13" x14ac:dyDescent="0.3">
      <c r="A6" s="1" t="s">
        <v>33</v>
      </c>
      <c r="B6" s="1">
        <v>4</v>
      </c>
      <c r="C6" s="8"/>
      <c r="E6" s="1">
        <v>60800</v>
      </c>
      <c r="F6" s="6">
        <f t="shared" si="0"/>
        <v>12160</v>
      </c>
      <c r="G6" s="1">
        <f t="shared" si="1"/>
        <v>21280</v>
      </c>
      <c r="H6" s="1">
        <f t="shared" si="2"/>
        <v>15200</v>
      </c>
      <c r="I6">
        <f t="shared" si="3"/>
        <v>6080</v>
      </c>
      <c r="J6" s="12"/>
      <c r="K6" s="12"/>
      <c r="L6" s="12"/>
      <c r="M6" s="12"/>
    </row>
    <row r="7" spans="1:13" x14ac:dyDescent="0.3">
      <c r="A7" s="1" t="s">
        <v>28</v>
      </c>
      <c r="B7" s="1">
        <v>9</v>
      </c>
      <c r="C7" s="8"/>
      <c r="E7" s="1">
        <v>42900</v>
      </c>
      <c r="F7" s="6">
        <f t="shared" si="0"/>
        <v>8580</v>
      </c>
      <c r="G7" s="1">
        <f t="shared" si="1"/>
        <v>15014.999999999998</v>
      </c>
      <c r="H7" s="1">
        <f t="shared" si="2"/>
        <v>10725</v>
      </c>
      <c r="I7">
        <f t="shared" si="3"/>
        <v>4290</v>
      </c>
      <c r="J7" s="12"/>
      <c r="K7" s="12"/>
      <c r="L7" s="12"/>
      <c r="M7" s="12"/>
    </row>
    <row r="8" spans="1:13" x14ac:dyDescent="0.3">
      <c r="A8" s="1" t="s">
        <v>63</v>
      </c>
      <c r="B8" s="1">
        <v>7</v>
      </c>
      <c r="E8" s="1">
        <v>9300</v>
      </c>
      <c r="F8" s="6">
        <f t="shared" si="0"/>
        <v>1860</v>
      </c>
      <c r="G8" s="1">
        <f t="shared" si="1"/>
        <v>3255</v>
      </c>
      <c r="H8" s="1">
        <f t="shared" si="2"/>
        <v>2325</v>
      </c>
      <c r="I8">
        <f t="shared" si="3"/>
        <v>930</v>
      </c>
    </row>
    <row r="9" spans="1:13" x14ac:dyDescent="0.3">
      <c r="A9" s="1" t="s">
        <v>27</v>
      </c>
      <c r="B9" s="1">
        <v>8</v>
      </c>
      <c r="E9" s="1">
        <v>21450</v>
      </c>
      <c r="F9" s="6">
        <f t="shared" si="0"/>
        <v>4290</v>
      </c>
      <c r="G9" s="1">
        <f t="shared" si="1"/>
        <v>7507.4999999999991</v>
      </c>
      <c r="H9" s="1">
        <f t="shared" si="2"/>
        <v>5362.5</v>
      </c>
      <c r="I9">
        <f t="shared" si="3"/>
        <v>2145</v>
      </c>
    </row>
    <row r="10" spans="1:13" x14ac:dyDescent="0.3">
      <c r="A10" s="1" t="s">
        <v>25</v>
      </c>
      <c r="B10" s="1">
        <v>9</v>
      </c>
      <c r="E10" s="1">
        <v>15500</v>
      </c>
      <c r="F10" s="6">
        <f t="shared" si="0"/>
        <v>3100</v>
      </c>
      <c r="G10" s="1">
        <f t="shared" si="1"/>
        <v>5425</v>
      </c>
      <c r="H10" s="1">
        <f t="shared" si="2"/>
        <v>3875</v>
      </c>
      <c r="I10">
        <f t="shared" si="3"/>
        <v>1550</v>
      </c>
    </row>
    <row r="11" spans="1:13" x14ac:dyDescent="0.3">
      <c r="A11" s="1" t="s">
        <v>29</v>
      </c>
      <c r="B11" s="1">
        <v>13</v>
      </c>
      <c r="E11" s="1">
        <v>30600</v>
      </c>
      <c r="F11" s="6">
        <f t="shared" si="0"/>
        <v>6120</v>
      </c>
      <c r="G11" s="1">
        <f t="shared" si="1"/>
        <v>10710</v>
      </c>
      <c r="H11" s="1">
        <f t="shared" si="2"/>
        <v>7650</v>
      </c>
      <c r="I11">
        <f t="shared" si="3"/>
        <v>3060</v>
      </c>
    </row>
    <row r="12" spans="1:13" x14ac:dyDescent="0.3">
      <c r="A12" s="1" t="s">
        <v>35</v>
      </c>
      <c r="B12" s="1">
        <v>10</v>
      </c>
      <c r="E12" s="1">
        <v>65200</v>
      </c>
      <c r="F12" s="6">
        <f t="shared" si="0"/>
        <v>13040</v>
      </c>
      <c r="G12" s="1">
        <f t="shared" si="1"/>
        <v>22820</v>
      </c>
      <c r="H12" s="1">
        <f t="shared" si="2"/>
        <v>16300</v>
      </c>
      <c r="I12">
        <f t="shared" si="3"/>
        <v>6520</v>
      </c>
    </row>
    <row r="13" spans="1:13" x14ac:dyDescent="0.3">
      <c r="A13" s="1" t="s">
        <v>26</v>
      </c>
      <c r="B13" s="1">
        <v>10</v>
      </c>
      <c r="E13" s="1">
        <v>6200</v>
      </c>
      <c r="F13" s="6">
        <f t="shared" si="0"/>
        <v>1240</v>
      </c>
      <c r="G13" s="1">
        <f t="shared" si="1"/>
        <v>2170</v>
      </c>
      <c r="H13" s="1">
        <f t="shared" si="2"/>
        <v>1550</v>
      </c>
      <c r="I13">
        <f t="shared" si="3"/>
        <v>620</v>
      </c>
    </row>
    <row r="14" spans="1:13" x14ac:dyDescent="0.3">
      <c r="E14" s="1">
        <v>24450</v>
      </c>
      <c r="F14" s="6">
        <f t="shared" si="0"/>
        <v>4890</v>
      </c>
      <c r="G14" s="1">
        <f t="shared" si="1"/>
        <v>8557.5</v>
      </c>
      <c r="H14" s="1">
        <f t="shared" si="2"/>
        <v>6112.5</v>
      </c>
      <c r="I14">
        <f t="shared" si="3"/>
        <v>2445</v>
      </c>
    </row>
    <row r="15" spans="1:13" x14ac:dyDescent="0.3">
      <c r="E15" s="1">
        <v>9300</v>
      </c>
      <c r="F15" s="6">
        <f t="shared" si="0"/>
        <v>1860</v>
      </c>
      <c r="G15" s="1">
        <f t="shared" si="1"/>
        <v>3255</v>
      </c>
      <c r="H15" s="1">
        <f t="shared" si="2"/>
        <v>2325</v>
      </c>
      <c r="I15">
        <f t="shared" si="3"/>
        <v>930</v>
      </c>
    </row>
    <row r="16" spans="1:13" x14ac:dyDescent="0.3">
      <c r="E16" s="1">
        <v>25500</v>
      </c>
      <c r="F16" s="6">
        <f t="shared" si="0"/>
        <v>5100</v>
      </c>
      <c r="G16" s="1">
        <f t="shared" si="1"/>
        <v>8925</v>
      </c>
      <c r="H16" s="1">
        <f t="shared" si="2"/>
        <v>6375</v>
      </c>
      <c r="I16">
        <f t="shared" si="3"/>
        <v>2550</v>
      </c>
    </row>
    <row r="17" spans="5:9" x14ac:dyDescent="0.3">
      <c r="E17" s="1">
        <v>5100</v>
      </c>
      <c r="F17" s="6">
        <f t="shared" si="0"/>
        <v>1020</v>
      </c>
      <c r="G17" s="1">
        <f t="shared" si="1"/>
        <v>1785</v>
      </c>
      <c r="H17" s="1">
        <f t="shared" si="2"/>
        <v>1275</v>
      </c>
      <c r="I17">
        <f t="shared" si="3"/>
        <v>510</v>
      </c>
    </row>
    <row r="18" spans="5:9" x14ac:dyDescent="0.3">
      <c r="E18" s="1">
        <v>20400</v>
      </c>
      <c r="F18" s="6">
        <f t="shared" si="0"/>
        <v>4080</v>
      </c>
      <c r="G18" s="1">
        <f t="shared" si="1"/>
        <v>7140</v>
      </c>
      <c r="H18" s="1">
        <f t="shared" si="2"/>
        <v>5100</v>
      </c>
      <c r="I18">
        <f t="shared" si="3"/>
        <v>2040</v>
      </c>
    </row>
    <row r="19" spans="5:9" x14ac:dyDescent="0.3">
      <c r="E19" s="1">
        <v>32600</v>
      </c>
      <c r="F19" s="6">
        <f t="shared" si="0"/>
        <v>6520</v>
      </c>
      <c r="G19" s="1">
        <f t="shared" si="1"/>
        <v>11410</v>
      </c>
      <c r="H19" s="1">
        <f t="shared" si="2"/>
        <v>8150</v>
      </c>
      <c r="I19">
        <f t="shared" si="3"/>
        <v>3260</v>
      </c>
    </row>
    <row r="20" spans="5:9" x14ac:dyDescent="0.3">
      <c r="E20" s="1">
        <v>10200</v>
      </c>
      <c r="F20" s="6">
        <f t="shared" si="0"/>
        <v>2040</v>
      </c>
      <c r="G20" s="1">
        <f t="shared" si="1"/>
        <v>3570</v>
      </c>
      <c r="H20" s="1">
        <f t="shared" si="2"/>
        <v>2550</v>
      </c>
      <c r="I20">
        <f t="shared" si="3"/>
        <v>1020</v>
      </c>
    </row>
    <row r="21" spans="5:9" x14ac:dyDescent="0.3">
      <c r="E21" s="1">
        <v>21450</v>
      </c>
      <c r="F21" s="6">
        <f t="shared" si="0"/>
        <v>4290</v>
      </c>
      <c r="G21" s="1">
        <f t="shared" si="1"/>
        <v>7507.4999999999991</v>
      </c>
      <c r="H21" s="1">
        <f t="shared" si="2"/>
        <v>5362.5</v>
      </c>
      <c r="I21">
        <f t="shared" si="3"/>
        <v>2145</v>
      </c>
    </row>
    <row r="22" spans="5:9" x14ac:dyDescent="0.3">
      <c r="E22" s="1">
        <v>15500</v>
      </c>
      <c r="F22" s="6">
        <f t="shared" si="0"/>
        <v>3100</v>
      </c>
      <c r="G22" s="1">
        <f t="shared" si="1"/>
        <v>5425</v>
      </c>
      <c r="H22" s="1">
        <f t="shared" si="2"/>
        <v>3875</v>
      </c>
      <c r="I22">
        <f t="shared" si="3"/>
        <v>1550</v>
      </c>
    </row>
    <row r="23" spans="5:9" x14ac:dyDescent="0.3">
      <c r="E23" s="1">
        <v>30400</v>
      </c>
      <c r="F23" s="6">
        <f t="shared" si="0"/>
        <v>6080</v>
      </c>
      <c r="G23" s="1">
        <f t="shared" si="1"/>
        <v>10640</v>
      </c>
      <c r="H23" s="1">
        <f t="shared" si="2"/>
        <v>7600</v>
      </c>
      <c r="I23">
        <f t="shared" si="3"/>
        <v>3040</v>
      </c>
    </row>
    <row r="24" spans="5:9" x14ac:dyDescent="0.3">
      <c r="E24" s="1">
        <v>30400</v>
      </c>
      <c r="F24" s="6">
        <f t="shared" si="0"/>
        <v>6080</v>
      </c>
      <c r="G24" s="1">
        <f t="shared" si="1"/>
        <v>10640</v>
      </c>
      <c r="H24" s="1">
        <f t="shared" si="2"/>
        <v>7600</v>
      </c>
      <c r="I24">
        <f t="shared" si="3"/>
        <v>3040</v>
      </c>
    </row>
    <row r="25" spans="5:9" x14ac:dyDescent="0.3">
      <c r="E25" s="1">
        <v>12400</v>
      </c>
      <c r="F25" s="6">
        <f t="shared" si="0"/>
        <v>2480</v>
      </c>
      <c r="G25" s="1">
        <f t="shared" si="1"/>
        <v>4340</v>
      </c>
      <c r="H25" s="1">
        <f t="shared" si="2"/>
        <v>3100</v>
      </c>
      <c r="I25">
        <f t="shared" si="3"/>
        <v>1240</v>
      </c>
    </row>
    <row r="26" spans="5:9" x14ac:dyDescent="0.3">
      <c r="E26" s="1">
        <v>35750</v>
      </c>
      <c r="F26" s="6">
        <f t="shared" si="0"/>
        <v>7150</v>
      </c>
      <c r="G26" s="1">
        <f t="shared" si="1"/>
        <v>12512.5</v>
      </c>
      <c r="H26" s="1">
        <f t="shared" si="2"/>
        <v>8937.5</v>
      </c>
      <c r="I26">
        <f t="shared" si="3"/>
        <v>3575</v>
      </c>
    </row>
    <row r="27" spans="5:9" x14ac:dyDescent="0.3">
      <c r="E27" s="3" t="s">
        <v>67</v>
      </c>
      <c r="F27" s="7" t="s">
        <v>67</v>
      </c>
      <c r="G27" s="3" t="s">
        <v>67</v>
      </c>
      <c r="H27" s="3" t="s">
        <v>67</v>
      </c>
      <c r="I27" s="3" t="s">
        <v>67</v>
      </c>
    </row>
    <row r="28" spans="5:9" x14ac:dyDescent="0.3">
      <c r="E28" s="1">
        <f>SUM(E2:E26)</f>
        <v>593800</v>
      </c>
      <c r="F28" s="6">
        <f>SUM(F2:F26)</f>
        <v>118760</v>
      </c>
      <c r="G28" s="1">
        <f>SUM(G2:G26)</f>
        <v>207830</v>
      </c>
      <c r="H28" s="1">
        <f>SUM(H2:H26)</f>
        <v>148450</v>
      </c>
      <c r="I28" s="1">
        <f>SUM(I2:I26)</f>
        <v>59380</v>
      </c>
    </row>
  </sheetData>
  <mergeCells count="3">
    <mergeCell ref="C2:C7"/>
    <mergeCell ref="J1:M1"/>
    <mergeCell ref="J2:M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 Planner </vt:lpstr>
      <vt:lpstr>Packages detail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Moeen</dc:creator>
  <cp:lastModifiedBy>Esha Moeen</cp:lastModifiedBy>
  <dcterms:created xsi:type="dcterms:W3CDTF">2025-12-27T06:21:46Z</dcterms:created>
  <dcterms:modified xsi:type="dcterms:W3CDTF">2026-01-03T17:47:56Z</dcterms:modified>
</cp:coreProperties>
</file>